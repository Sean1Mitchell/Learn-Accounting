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defaultThemeVersion="166925"/>
  <xr:revisionPtr revIDLastSave="414" documentId="11_E60897F41BE170836B02CE998F75CCDC64E183C8" xr6:coauthVersionLast="47" xr6:coauthVersionMax="47" xr10:uidLastSave="{B9B7C4E2-AF77-4EC7-86A4-4F7637A1F087}"/>
  <bookViews>
    <workbookView xWindow="240" yWindow="105" windowWidth="14805" windowHeight="8010" firstSheet="1" xr2:uid="{00000000-000D-0000-FFFF-FFFF00000000}"/>
  </bookViews>
  <sheets>
    <sheet name="Info" sheetId="1" r:id="rId1"/>
    <sheet name="Part A" sheetId="2" r:id="rId2"/>
    <sheet name="Part B" sheetId="3" r:id="rId3"/>
    <sheet name="Part C"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4" l="1"/>
  <c r="G23" i="4"/>
  <c r="G24" i="4"/>
  <c r="G21" i="4"/>
  <c r="G22" i="4"/>
  <c r="G19" i="4"/>
  <c r="D17" i="4"/>
  <c r="E17" i="4"/>
  <c r="E9" i="4"/>
  <c r="D9" i="4"/>
  <c r="J25" i="3"/>
  <c r="I23" i="3"/>
  <c r="I22" i="3"/>
  <c r="I21" i="3"/>
  <c r="I20" i="3"/>
  <c r="I19" i="3"/>
  <c r="I18" i="3"/>
  <c r="I17" i="3"/>
  <c r="I16" i="3"/>
  <c r="I15" i="3"/>
  <c r="I14" i="3"/>
  <c r="I13" i="3"/>
  <c r="I12" i="3"/>
  <c r="I11" i="3"/>
  <c r="I10" i="3"/>
  <c r="K25" i="3"/>
  <c r="I9" i="3"/>
  <c r="I8" i="3"/>
  <c r="I7" i="3"/>
  <c r="J27" i="3"/>
  <c r="W28" i="2"/>
  <c r="V28" i="2"/>
  <c r="U28" i="2"/>
  <c r="T28" i="2"/>
  <c r="S28" i="2"/>
  <c r="R28" i="2"/>
  <c r="Q28" i="2"/>
  <c r="T12" i="2"/>
  <c r="S12" i="2"/>
  <c r="R12" i="2"/>
  <c r="Q12" i="2"/>
  <c r="P12" i="2"/>
  <c r="P26" i="2" s="1"/>
  <c r="O12" i="2"/>
  <c r="O26" i="2" s="1"/>
  <c r="I20" i="2"/>
  <c r="P16" i="2"/>
  <c r="Q16" i="2" s="1"/>
  <c r="R16" i="2" s="1"/>
  <c r="S16" i="2" s="1"/>
  <c r="T16" i="2" s="1"/>
  <c r="U16" i="2" s="1"/>
  <c r="V16" i="2" s="1"/>
  <c r="W16" i="2" s="1"/>
  <c r="E20" i="2"/>
  <c r="D20" i="2"/>
  <c r="K15" i="2"/>
  <c r="J15" i="2"/>
  <c r="I15" i="2"/>
  <c r="G15" i="2"/>
  <c r="E15" i="2"/>
  <c r="D15" i="2"/>
  <c r="C15" i="2"/>
  <c r="A15" i="2"/>
  <c r="I12" i="2"/>
  <c r="P4" i="2"/>
  <c r="Q4" i="2" s="1"/>
  <c r="R4" i="2" s="1"/>
  <c r="S4" i="2" s="1"/>
  <c r="T4" i="2" s="1"/>
  <c r="O28" i="2" l="1"/>
  <c r="O14" i="2"/>
  <c r="P28" i="2"/>
  <c r="P14" i="2"/>
  <c r="D12" i="2"/>
  <c r="E12" i="2"/>
  <c r="J12" i="2"/>
  <c r="K12" i="2"/>
  <c r="C12" i="2"/>
  <c r="C20" i="2"/>
  <c r="J20" i="2"/>
  <c r="K20" i="2"/>
  <c r="I28" i="2" l="1"/>
  <c r="J28" i="2" l="1"/>
  <c r="K28" i="2"/>
  <c r="C28" i="2" l="1"/>
  <c r="D28" i="2" l="1"/>
  <c r="E28" i="2"/>
</calcChain>
</file>

<file path=xl/sharedStrings.xml><?xml version="1.0" encoding="utf-8"?>
<sst xmlns="http://schemas.openxmlformats.org/spreadsheetml/2006/main" count="332" uniqueCount="110">
  <si>
    <t>You work for an Accounting Firm as a Bookkeeper and you're manager has came to you with a new client;</t>
  </si>
  <si>
    <t>Miss Jones.</t>
  </si>
  <si>
    <t>Part A:</t>
  </si>
  <si>
    <t>Update Miss Jone's Daybooks from the list of transactions provided below:</t>
  </si>
  <si>
    <t>Part B:</t>
  </si>
  <si>
    <t xml:space="preserve">Transfer the Daybooks into the Ledger Accounts: Sales Ledger, Purchase Ledger, </t>
  </si>
  <si>
    <t>and General Ledger, then produce a Trial Balance.</t>
  </si>
  <si>
    <t>Part C:</t>
  </si>
  <si>
    <t>Produce a VAT Return for Miss Jones.</t>
  </si>
  <si>
    <t>Transactions to be Recorded:</t>
  </si>
  <si>
    <t>Miss Jone's has injected £100,000 in bank and £8,000 of cash into her business as capital.</t>
  </si>
  <si>
    <t>Bought goods for resale from Ladies Ltd on credit for £2,750 which in inclusive of VAT. They offer a prompt payment discount of 2% if paid within 28 days.</t>
  </si>
  <si>
    <t>Bought goods for resale on credit from D n A Partners. for £3,200 Gross.</t>
  </si>
  <si>
    <t>Bought office equipment for £5,000 including VAT paying by debit card through the bank.</t>
  </si>
  <si>
    <t>Paid monthly rent and rates of £1,850 via bacs transfer - this is exempt from VAT.</t>
  </si>
  <si>
    <t>Received an invoice for purchase of inventory from D n A Partners. for £3,500 (zero VAT).</t>
  </si>
  <si>
    <t>Sold goods on credit to David and Sons plc for £5,600 Gross.</t>
  </si>
  <si>
    <t>Cash sales of £1,800 inclusive of VAT.</t>
  </si>
  <si>
    <t>Paid telephone of £154.00 Gross by cash</t>
  </si>
  <si>
    <t>Sold goods to Rainbow Plc on credit for £5,000 net. Prompt payment discount of 3% if paid with 28 days.</t>
  </si>
  <si>
    <t>Returned goods to D n A Partners. and received a credit note for £820 inclusive of VAT.</t>
  </si>
  <si>
    <t>Purchased a car from Cars and Vans for £22,000 including VAT paid by bacs transfer. He will be using this solely for business purposes.</t>
  </si>
  <si>
    <t>Cash sales of £1,000 (zero VAT).</t>
  </si>
  <si>
    <t>Paid postage of £51.00 by cash. Exempt from VAT</t>
  </si>
  <si>
    <t>Sent invoice for sale of goods to Rainbow Plc for £4,000 net. Prompt payment discount of 3% if paid with 28 days.</t>
  </si>
  <si>
    <t>Paid bacs transfer to D n A Partners. for £2,500.</t>
  </si>
  <si>
    <t>Issued invoice for sale of goods to David and Sons for £6,000  Gross.</t>
  </si>
  <si>
    <t>Sent cheque to Ladies Ltd for the amount due, after deduction of prompt payment discount.</t>
  </si>
  <si>
    <t>Rainbow Plc returned goods and was sent a credit note for £1000.00 plus VAT.</t>
  </si>
  <si>
    <t>Received an invoice for purchase of goods from Ladies Ltd for £2,600 inclusive of VAT.</t>
  </si>
  <si>
    <t>David and Sons returned goods for £800 inclusive of VAT.</t>
  </si>
  <si>
    <t>Rainbow Plc sent us a cheque for the full amount due, after deduction of prompt payment discount.</t>
  </si>
  <si>
    <t>Received £1,500 in cash from David and Sons as a part payment of the balance due.</t>
  </si>
  <si>
    <t>Sales Day Book</t>
  </si>
  <si>
    <t>DR</t>
  </si>
  <si>
    <t>CR</t>
  </si>
  <si>
    <t>Purchase Day Book</t>
  </si>
  <si>
    <t>Cash Book Lodged</t>
  </si>
  <si>
    <t>Cr</t>
  </si>
  <si>
    <t>Date</t>
  </si>
  <si>
    <t>Name of Customer</t>
  </si>
  <si>
    <t>Gross</t>
  </si>
  <si>
    <t>VAT</t>
  </si>
  <si>
    <t>Net</t>
  </si>
  <si>
    <t>Name of Supplier</t>
  </si>
  <si>
    <t>Details</t>
  </si>
  <si>
    <t>Bank</t>
  </si>
  <si>
    <t>Cash</t>
  </si>
  <si>
    <t>Receipts Customers</t>
  </si>
  <si>
    <t>Capital</t>
  </si>
  <si>
    <t>Net Sales</t>
  </si>
  <si>
    <t>£</t>
  </si>
  <si>
    <t>Sales Return Day Book</t>
  </si>
  <si>
    <t>Purchase Return Day Book</t>
  </si>
  <si>
    <t>Balance B/D</t>
  </si>
  <si>
    <t>Cash Book Drawn</t>
  </si>
  <si>
    <t>Dr</t>
  </si>
  <si>
    <t>Payments Suppliers</t>
  </si>
  <si>
    <t>Office Equipment</t>
  </si>
  <si>
    <t>Phone</t>
  </si>
  <si>
    <t>Rent &amp; Rates</t>
  </si>
  <si>
    <t>Net Motors</t>
  </si>
  <si>
    <t>Postage</t>
  </si>
  <si>
    <t>Discount Allowed</t>
  </si>
  <si>
    <t>Discount Received</t>
  </si>
  <si>
    <t>Balance C/D</t>
  </si>
  <si>
    <t>Sales Ledger</t>
  </si>
  <si>
    <t>Miss Jones</t>
  </si>
  <si>
    <t>Trial Balance</t>
  </si>
  <si>
    <t>Account:</t>
  </si>
  <si>
    <t>David and Sons</t>
  </si>
  <si>
    <t>DR £</t>
  </si>
  <si>
    <t>CR £</t>
  </si>
  <si>
    <t>Debit</t>
  </si>
  <si>
    <t>Credit</t>
  </si>
  <si>
    <t>Balance</t>
  </si>
  <si>
    <t>Rainbow Plc</t>
  </si>
  <si>
    <t>Purchase Ledger</t>
  </si>
  <si>
    <t>Ladies Ltd</t>
  </si>
  <si>
    <t>Difference:</t>
  </si>
  <si>
    <t>DNA Partners</t>
  </si>
  <si>
    <t>General Ledger</t>
  </si>
  <si>
    <t>Sales</t>
  </si>
  <si>
    <t>Sales Returns</t>
  </si>
  <si>
    <t>Purchases</t>
  </si>
  <si>
    <t>Purchase Returns</t>
  </si>
  <si>
    <t>Rent and Rates</t>
  </si>
  <si>
    <t>Motor Vehicle</t>
  </si>
  <si>
    <t>Output VAT</t>
  </si>
  <si>
    <t>Value of Output</t>
  </si>
  <si>
    <t>Box 1 &amp; 3</t>
  </si>
  <si>
    <t>Box 6</t>
  </si>
  <si>
    <t>Discount Allowed Day Book</t>
  </si>
  <si>
    <t>Total:</t>
  </si>
  <si>
    <t>Input VAT</t>
  </si>
  <si>
    <t>Value of Input</t>
  </si>
  <si>
    <t>Box 4</t>
  </si>
  <si>
    <t>Box 7</t>
  </si>
  <si>
    <t>Discount Received Day Book</t>
  </si>
  <si>
    <t>VAT due in this period of sales and other outputs</t>
  </si>
  <si>
    <t>VAT due in this period on acquisitions from other EC member states.</t>
  </si>
  <si>
    <t>-</t>
  </si>
  <si>
    <t>Total VAT due (i.e., 1 + 2).</t>
  </si>
  <si>
    <t>VAT reclaimed in this period on purchases and other inputs (incl. acquisitions from the EC).</t>
  </si>
  <si>
    <t>Net VAT to be paid to customs or reclaimed by you (Difference between 3 and 4).</t>
  </si>
  <si>
    <t>Total value of sales and all other outputs excluding any VAT, include box 8 figures.</t>
  </si>
  <si>
    <t>Total value of purchases and all other inputs excluding any VAT, include box 9 figures.</t>
  </si>
  <si>
    <t>Total value of all supplies of goods and related services excluding any VAT, to other member states.</t>
  </si>
  <si>
    <t>N/A</t>
  </si>
  <si>
    <t>Total value of all acquisition of goods and related services excluding any VAT, from other EC member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</si>
</sst>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_ ;[Red]\-#,##0.00\ "/>
    <numFmt numFmtId="165" formatCode="[$£-809]#,##0.00"/>
  </numFmts>
  <fonts count="10">
    <font>
      <sz val="11"/>
      <color theme="1"/>
      <name val="Calibri"/>
      <family val="2"/>
      <scheme val="minor"/>
    </font>
    <font>
      <sz val="11"/>
      <color theme="1"/>
      <name val="Calibri"/>
      <family val="2"/>
      <scheme val="minor"/>
    </font>
    <font>
      <sz val="11"/>
      <color theme="1"/>
      <name val="Aptos"/>
    </font>
    <font>
      <b/>
      <sz val="11"/>
      <color theme="1"/>
      <name val="Aptos"/>
    </font>
    <font>
      <sz val="11"/>
      <color rgb="FF000000"/>
      <name val="Calibri"/>
      <charset val="1"/>
    </font>
    <font>
      <sz val="11"/>
      <color rgb="FFFF0000"/>
      <name val="Aptos"/>
    </font>
    <font>
      <sz val="11"/>
      <color rgb="FF000000"/>
      <name val="Aptos"/>
    </font>
    <font>
      <sz val="11"/>
      <name val="Aptos"/>
    </font>
    <font>
      <b/>
      <sz val="11"/>
      <name val="Aptos"/>
    </font>
    <font>
      <b/>
      <sz val="11"/>
      <color rgb="FF000000"/>
      <name val="Aptos"/>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6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bottom style="double">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top/>
      <bottom style="thin">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right/>
      <top style="medium">
        <color rgb="FF000000"/>
      </top>
      <bottom style="medium">
        <color rgb="FF000000"/>
      </bottom>
      <diagonal/>
    </border>
    <border>
      <left style="medium">
        <color rgb="FF000000"/>
      </left>
      <right style="thin">
        <color rgb="FF000000"/>
      </right>
      <top/>
      <bottom/>
      <diagonal/>
    </border>
    <border>
      <left/>
      <right/>
      <top style="medium">
        <color rgb="FF000000"/>
      </top>
      <bottom/>
      <diagonal/>
    </border>
    <border>
      <left/>
      <right/>
      <top/>
      <bottom style="medium">
        <color rgb="FF000000"/>
      </bottom>
      <diagonal/>
    </border>
    <border>
      <left style="thin">
        <color rgb="FF000000"/>
      </left>
      <right style="medium">
        <color rgb="FF000000"/>
      </right>
      <top/>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s>
  <cellStyleXfs count="2">
    <xf numFmtId="0" fontId="0" fillId="0" borderId="0"/>
    <xf numFmtId="43" fontId="1" fillId="0" borderId="0" applyFont="0" applyFill="0" applyBorder="0" applyAlignment="0" applyProtection="0"/>
  </cellStyleXfs>
  <cellXfs count="223">
    <xf numFmtId="0" fontId="0" fillId="0" borderId="0" xfId="0"/>
    <xf numFmtId="0" fontId="2" fillId="0" borderId="0" xfId="0" applyFont="1"/>
    <xf numFmtId="0" fontId="3" fillId="0" borderId="0" xfId="0" applyFont="1"/>
    <xf numFmtId="16" fontId="0" fillId="0" borderId="1" xfId="0" applyNumberFormat="1" applyBorder="1" applyAlignment="1">
      <alignment horizontal="center" vertical="center"/>
    </xf>
    <xf numFmtId="0" fontId="4"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2" fillId="0" borderId="1" xfId="0" applyFont="1" applyBorder="1" applyAlignment="1">
      <alignment wrapText="1"/>
    </xf>
    <xf numFmtId="16" fontId="0" fillId="0" borderId="2" xfId="0" applyNumberFormat="1" applyBorder="1" applyAlignment="1">
      <alignment horizontal="center" vertical="center"/>
    </xf>
    <xf numFmtId="0" fontId="4" fillId="0" borderId="2" xfId="0" applyFont="1" applyBorder="1" applyAlignment="1">
      <alignment horizontal="left" vertical="center" wrapText="1"/>
    </xf>
    <xf numFmtId="16" fontId="2" fillId="0" borderId="1" xfId="0" applyNumberFormat="1" applyFont="1" applyBorder="1" applyAlignment="1">
      <alignment horizontal="center" vertical="center"/>
    </xf>
    <xf numFmtId="0" fontId="2" fillId="0" borderId="0" xfId="0" applyFont="1" applyAlignment="1">
      <alignment horizontal="center"/>
    </xf>
    <xf numFmtId="40" fontId="2" fillId="0" borderId="0" xfId="0" applyNumberFormat="1" applyFont="1" applyAlignment="1">
      <alignment horizontal="center"/>
    </xf>
    <xf numFmtId="40" fontId="2" fillId="0" borderId="1" xfId="0" applyNumberFormat="1" applyFont="1" applyBorder="1" applyAlignment="1">
      <alignment horizontal="center"/>
    </xf>
    <xf numFmtId="0" fontId="2" fillId="0" borderId="2" xfId="0" applyFont="1" applyBorder="1"/>
    <xf numFmtId="40" fontId="2" fillId="0" borderId="2" xfId="0" applyNumberFormat="1" applyFont="1" applyBorder="1" applyAlignment="1">
      <alignment horizontal="center"/>
    </xf>
    <xf numFmtId="0" fontId="2" fillId="0" borderId="1" xfId="0" applyFont="1" applyBorder="1"/>
    <xf numFmtId="40" fontId="2" fillId="0" borderId="5" xfId="0" applyNumberFormat="1" applyFont="1" applyBorder="1" applyAlignment="1">
      <alignment horizontal="center"/>
    </xf>
    <xf numFmtId="0" fontId="2" fillId="0" borderId="7" xfId="0" applyFont="1" applyBorder="1"/>
    <xf numFmtId="40" fontId="2" fillId="0" borderId="7" xfId="0" applyNumberFormat="1" applyFont="1" applyBorder="1" applyAlignment="1">
      <alignment horizontal="center"/>
    </xf>
    <xf numFmtId="0" fontId="2" fillId="0" borderId="5" xfId="0" applyFont="1" applyBorder="1"/>
    <xf numFmtId="0" fontId="3" fillId="0" borderId="0" xfId="0" applyFont="1" applyAlignment="1">
      <alignment horizontal="center"/>
    </xf>
    <xf numFmtId="0" fontId="2" fillId="0" borderId="0" xfId="0" applyFont="1" applyAlignment="1">
      <alignment vertical="center" textRotation="90"/>
    </xf>
    <xf numFmtId="16" fontId="2" fillId="0" borderId="0" xfId="0" applyNumberFormat="1" applyFont="1" applyAlignment="1">
      <alignment horizontal="center"/>
    </xf>
    <xf numFmtId="0" fontId="3" fillId="0" borderId="11" xfId="0" applyFont="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5" xfId="0" applyFont="1" applyBorder="1" applyAlignment="1">
      <alignment horizontal="center" vertical="center"/>
    </xf>
    <xf numFmtId="0" fontId="3" fillId="0" borderId="30" xfId="0" applyFont="1" applyBorder="1" applyAlignment="1">
      <alignment horizontal="center" vertical="center"/>
    </xf>
    <xf numFmtId="0" fontId="3" fillId="0" borderId="18" xfId="0" applyFont="1" applyBorder="1" applyAlignment="1">
      <alignment horizontal="center" vertical="center"/>
    </xf>
    <xf numFmtId="0" fontId="2" fillId="0" borderId="0" xfId="0" applyFont="1" applyAlignment="1">
      <alignment horizontal="left"/>
    </xf>
    <xf numFmtId="40" fontId="2" fillId="0" borderId="12" xfId="0" applyNumberFormat="1" applyFont="1" applyBorder="1" applyAlignment="1">
      <alignment horizontal="center"/>
    </xf>
    <xf numFmtId="40" fontId="2" fillId="0" borderId="16" xfId="0" applyNumberFormat="1" applyFont="1" applyBorder="1" applyAlignment="1">
      <alignment horizontal="center"/>
    </xf>
    <xf numFmtId="40" fontId="2" fillId="0" borderId="14" xfId="0" applyNumberFormat="1" applyFont="1" applyBorder="1" applyAlignment="1">
      <alignment horizontal="center"/>
    </xf>
    <xf numFmtId="40" fontId="2" fillId="0" borderId="34" xfId="0" applyNumberFormat="1" applyFont="1" applyBorder="1" applyAlignment="1">
      <alignment horizontal="center"/>
    </xf>
    <xf numFmtId="40" fontId="3" fillId="0" borderId="12" xfId="0" applyNumberFormat="1" applyFont="1" applyBorder="1" applyAlignment="1">
      <alignment horizontal="center"/>
    </xf>
    <xf numFmtId="40" fontId="3" fillId="0" borderId="35" xfId="0" applyNumberFormat="1" applyFont="1" applyBorder="1" applyAlignment="1">
      <alignment horizontal="center"/>
    </xf>
    <xf numFmtId="40" fontId="3" fillId="0" borderId="37" xfId="0" applyNumberFormat="1" applyFont="1" applyBorder="1" applyAlignment="1">
      <alignment horizontal="center"/>
    </xf>
    <xf numFmtId="40" fontId="3" fillId="0" borderId="27" xfId="0" applyNumberFormat="1" applyFont="1" applyBorder="1" applyAlignment="1">
      <alignment horizontal="center"/>
    </xf>
    <xf numFmtId="0" fontId="3" fillId="0" borderId="28" xfId="0" applyFont="1" applyBorder="1" applyAlignment="1">
      <alignment horizontal="center"/>
    </xf>
    <xf numFmtId="0" fontId="3" fillId="0" borderId="38" xfId="0" applyFont="1" applyBorder="1" applyAlignment="1">
      <alignment horizontal="center"/>
    </xf>
    <xf numFmtId="0" fontId="3" fillId="0" borderId="39" xfId="0" applyFont="1" applyBorder="1" applyAlignment="1">
      <alignment horizontal="center"/>
    </xf>
    <xf numFmtId="16" fontId="2" fillId="0" borderId="15" xfId="0" applyNumberFormat="1" applyFont="1" applyBorder="1" applyAlignment="1">
      <alignment horizontal="center"/>
    </xf>
    <xf numFmtId="16" fontId="2" fillId="0" borderId="13" xfId="0" applyNumberFormat="1" applyFont="1" applyBorder="1" applyAlignment="1">
      <alignment horizontal="center"/>
    </xf>
    <xf numFmtId="0" fontId="2" fillId="0" borderId="13" xfId="0" applyFont="1" applyBorder="1" applyAlignment="1">
      <alignment horizontal="center"/>
    </xf>
    <xf numFmtId="0" fontId="2" fillId="0" borderId="28" xfId="0" applyFont="1" applyBorder="1" applyAlignment="1">
      <alignment horizontal="center"/>
    </xf>
    <xf numFmtId="0" fontId="2" fillId="0" borderId="2" xfId="0" applyFont="1" applyBorder="1" applyAlignment="1">
      <alignment horizontal="left"/>
    </xf>
    <xf numFmtId="0" fontId="2" fillId="0" borderId="1" xfId="0" applyFont="1" applyBorder="1" applyAlignment="1">
      <alignment horizontal="left"/>
    </xf>
    <xf numFmtId="0" fontId="2" fillId="0" borderId="29" xfId="0" applyFont="1" applyBorder="1" applyAlignment="1">
      <alignment horizontal="left"/>
    </xf>
    <xf numFmtId="164" fontId="2" fillId="0" borderId="2" xfId="0" applyNumberFormat="1" applyFont="1" applyBorder="1" applyAlignment="1">
      <alignment horizontal="center" vertical="center"/>
    </xf>
    <xf numFmtId="164" fontId="2" fillId="0" borderId="16" xfId="0" applyNumberFormat="1" applyFont="1" applyBorder="1" applyAlignment="1">
      <alignment horizontal="center" vertical="center"/>
    </xf>
    <xf numFmtId="164" fontId="2" fillId="0" borderId="1" xfId="0" applyNumberFormat="1" applyFont="1" applyBorder="1" applyAlignment="1">
      <alignment horizontal="center" vertical="center"/>
    </xf>
    <xf numFmtId="164" fontId="2" fillId="0" borderId="14" xfId="0" applyNumberFormat="1" applyFont="1" applyBorder="1" applyAlignment="1">
      <alignment horizontal="center" vertical="center"/>
    </xf>
    <xf numFmtId="164" fontId="2" fillId="0" borderId="5" xfId="0" applyNumberFormat="1" applyFont="1" applyBorder="1" applyAlignment="1">
      <alignment horizontal="center" vertical="center"/>
    </xf>
    <xf numFmtId="164" fontId="2" fillId="0" borderId="18" xfId="0" applyNumberFormat="1" applyFont="1" applyBorder="1" applyAlignment="1">
      <alignment horizontal="center" vertical="center"/>
    </xf>
    <xf numFmtId="164" fontId="2" fillId="0" borderId="21" xfId="0" applyNumberFormat="1" applyFont="1" applyBorder="1" applyAlignment="1">
      <alignment horizontal="center" vertical="center"/>
    </xf>
    <xf numFmtId="164" fontId="2" fillId="0" borderId="6" xfId="0" applyNumberFormat="1" applyFont="1" applyBorder="1" applyAlignment="1">
      <alignment horizontal="center" vertical="center"/>
    </xf>
    <xf numFmtId="164" fontId="2" fillId="0" borderId="2" xfId="0" applyNumberFormat="1" applyFont="1" applyBorder="1" applyAlignment="1">
      <alignment horizontal="center"/>
    </xf>
    <xf numFmtId="164" fontId="2" fillId="0" borderId="16" xfId="0" applyNumberFormat="1" applyFont="1" applyBorder="1" applyAlignment="1">
      <alignment horizontal="center"/>
    </xf>
    <xf numFmtId="164" fontId="2" fillId="0" borderId="1" xfId="0" applyNumberFormat="1" applyFont="1" applyBorder="1" applyAlignment="1">
      <alignment horizontal="center"/>
    </xf>
    <xf numFmtId="164" fontId="2" fillId="0" borderId="14" xfId="0" applyNumberFormat="1" applyFont="1" applyBorder="1" applyAlignment="1">
      <alignment horizontal="center"/>
    </xf>
    <xf numFmtId="164" fontId="2" fillId="0" borderId="5" xfId="0" applyNumberFormat="1" applyFont="1" applyBorder="1" applyAlignment="1">
      <alignment horizontal="center"/>
    </xf>
    <xf numFmtId="164" fontId="2" fillId="0" borderId="18" xfId="0" applyNumberFormat="1" applyFont="1" applyBorder="1" applyAlignment="1">
      <alignment horizontal="center"/>
    </xf>
    <xf numFmtId="164" fontId="2" fillId="0" borderId="21" xfId="0" applyNumberFormat="1" applyFont="1" applyBorder="1" applyAlignment="1">
      <alignment horizontal="center"/>
    </xf>
    <xf numFmtId="164" fontId="2" fillId="0" borderId="6" xfId="0" applyNumberFormat="1" applyFont="1" applyBorder="1" applyAlignment="1">
      <alignment horizontal="center"/>
    </xf>
    <xf numFmtId="164" fontId="2" fillId="0" borderId="0" xfId="0" applyNumberFormat="1" applyFont="1" applyAlignment="1">
      <alignment horizontal="center"/>
    </xf>
    <xf numFmtId="164" fontId="2" fillId="0" borderId="7" xfId="0" applyNumberFormat="1" applyFont="1" applyBorder="1" applyAlignment="1">
      <alignment horizontal="center"/>
    </xf>
    <xf numFmtId="164" fontId="2" fillId="0" borderId="34" xfId="0" applyNumberFormat="1" applyFont="1" applyBorder="1" applyAlignment="1">
      <alignment horizontal="center"/>
    </xf>
    <xf numFmtId="0" fontId="3" fillId="0" borderId="41" xfId="0" applyFont="1" applyBorder="1"/>
    <xf numFmtId="0" fontId="3" fillId="0" borderId="41" xfId="0" applyFont="1" applyBorder="1" applyAlignment="1">
      <alignment horizontal="center"/>
    </xf>
    <xf numFmtId="0" fontId="3" fillId="0" borderId="42" xfId="0" applyFont="1" applyBorder="1" applyAlignment="1">
      <alignment horizontal="center"/>
    </xf>
    <xf numFmtId="40" fontId="2" fillId="0" borderId="42" xfId="0" applyNumberFormat="1" applyFont="1" applyBorder="1" applyAlignment="1">
      <alignment horizontal="center"/>
    </xf>
    <xf numFmtId="40" fontId="2" fillId="0" borderId="43" xfId="0" applyNumberFormat="1" applyFont="1" applyBorder="1" applyAlignment="1">
      <alignment horizontal="center"/>
    </xf>
    <xf numFmtId="0" fontId="3" fillId="0" borderId="44" xfId="0" applyFont="1" applyBorder="1"/>
    <xf numFmtId="40" fontId="2" fillId="0" borderId="45" xfId="0" applyNumberFormat="1" applyFont="1" applyBorder="1" applyAlignment="1">
      <alignment horizontal="center"/>
    </xf>
    <xf numFmtId="40" fontId="2" fillId="0" borderId="46" xfId="0" applyNumberFormat="1" applyFont="1" applyBorder="1" applyAlignment="1">
      <alignment horizontal="center"/>
    </xf>
    <xf numFmtId="0" fontId="3" fillId="0" borderId="24" xfId="0" applyFont="1" applyBorder="1"/>
    <xf numFmtId="40" fontId="2" fillId="0" borderId="47" xfId="0" applyNumberFormat="1" applyFont="1" applyBorder="1" applyAlignment="1">
      <alignment horizontal="center"/>
    </xf>
    <xf numFmtId="40" fontId="2" fillId="0" borderId="25" xfId="0" applyNumberFormat="1" applyFont="1" applyBorder="1" applyAlignment="1">
      <alignment horizontal="center"/>
    </xf>
    <xf numFmtId="40" fontId="3" fillId="0" borderId="20" xfId="0" applyNumberFormat="1" applyFont="1" applyBorder="1" applyAlignment="1">
      <alignment horizontal="center"/>
    </xf>
    <xf numFmtId="40" fontId="3" fillId="0" borderId="19" xfId="0" applyNumberFormat="1" applyFont="1" applyBorder="1" applyAlignment="1">
      <alignment horizontal="center"/>
    </xf>
    <xf numFmtId="165" fontId="2" fillId="0" borderId="0" xfId="0" applyNumberFormat="1" applyFont="1"/>
    <xf numFmtId="0" fontId="2" fillId="0" borderId="0" xfId="0" applyFont="1" applyAlignment="1">
      <alignment horizontal="right"/>
    </xf>
    <xf numFmtId="40" fontId="2" fillId="0" borderId="0" xfId="1" applyNumberFormat="1" applyFont="1" applyAlignment="1">
      <alignment horizontal="center"/>
    </xf>
    <xf numFmtId="40" fontId="2" fillId="0" borderId="1" xfId="1" applyNumberFormat="1" applyFont="1" applyBorder="1" applyAlignment="1">
      <alignment horizontal="center" vertical="center"/>
    </xf>
    <xf numFmtId="0" fontId="2" fillId="0" borderId="1" xfId="0" applyFont="1" applyBorder="1" applyAlignment="1">
      <alignment vertical="center"/>
    </xf>
    <xf numFmtId="0" fontId="2" fillId="0" borderId="2" xfId="0" applyFont="1" applyBorder="1" applyAlignment="1">
      <alignment vertical="center"/>
    </xf>
    <xf numFmtId="40" fontId="2" fillId="0" borderId="2" xfId="1" applyNumberFormat="1" applyFont="1" applyBorder="1" applyAlignment="1">
      <alignment horizontal="center" vertical="center"/>
    </xf>
    <xf numFmtId="0" fontId="2" fillId="0" borderId="0" xfId="0" applyFont="1" applyAlignment="1">
      <alignment horizontal="center" vertical="center"/>
    </xf>
    <xf numFmtId="40" fontId="2" fillId="0" borderId="0" xfId="1" applyNumberFormat="1" applyFont="1" applyFill="1" applyAlignment="1">
      <alignment horizontal="center"/>
    </xf>
    <xf numFmtId="40" fontId="2" fillId="0" borderId="10" xfId="0" applyNumberFormat="1" applyFont="1" applyBorder="1" applyAlignment="1">
      <alignment horizontal="center"/>
    </xf>
    <xf numFmtId="16" fontId="2" fillId="0" borderId="23" xfId="0" applyNumberFormat="1" applyFont="1" applyBorder="1" applyAlignment="1">
      <alignment horizontal="center"/>
    </xf>
    <xf numFmtId="16" fontId="2" fillId="0" borderId="17" xfId="0" applyNumberFormat="1" applyFont="1" applyBorder="1" applyAlignment="1">
      <alignment horizontal="center"/>
    </xf>
    <xf numFmtId="40" fontId="3" fillId="0" borderId="18" xfId="0" applyNumberFormat="1" applyFont="1" applyBorder="1" applyAlignment="1">
      <alignment horizontal="center"/>
    </xf>
    <xf numFmtId="40" fontId="3" fillId="0" borderId="10" xfId="0" applyNumberFormat="1" applyFont="1" applyBorder="1" applyAlignment="1">
      <alignment horizontal="center"/>
    </xf>
    <xf numFmtId="40" fontId="3" fillId="0" borderId="5" xfId="0" applyNumberFormat="1" applyFont="1" applyBorder="1" applyAlignment="1">
      <alignment horizontal="center"/>
    </xf>
    <xf numFmtId="40" fontId="3" fillId="0" borderId="0" xfId="0" applyNumberFormat="1" applyFont="1" applyAlignment="1">
      <alignment horizontal="center"/>
    </xf>
    <xf numFmtId="40" fontId="3" fillId="0" borderId="2" xfId="0" applyNumberFormat="1" applyFont="1" applyBorder="1" applyAlignment="1">
      <alignment horizontal="center"/>
    </xf>
    <xf numFmtId="0" fontId="3" fillId="0" borderId="19" xfId="0" applyFont="1" applyBorder="1" applyAlignment="1">
      <alignment horizontal="center"/>
    </xf>
    <xf numFmtId="16" fontId="2" fillId="0" borderId="9" xfId="0" applyNumberFormat="1" applyFont="1" applyBorder="1" applyAlignment="1">
      <alignment horizontal="center"/>
    </xf>
    <xf numFmtId="0" fontId="2" fillId="0" borderId="10" xfId="0" applyFont="1" applyBorder="1"/>
    <xf numFmtId="40" fontId="3" fillId="0" borderId="7" xfId="0" applyNumberFormat="1" applyFont="1" applyBorder="1" applyAlignment="1">
      <alignment horizontal="center"/>
    </xf>
    <xf numFmtId="40" fontId="3" fillId="0" borderId="34" xfId="0" applyNumberFormat="1" applyFont="1" applyBorder="1" applyAlignment="1">
      <alignment horizontal="center"/>
    </xf>
    <xf numFmtId="40" fontId="2" fillId="0" borderId="14" xfId="1" applyNumberFormat="1" applyFont="1" applyFill="1" applyBorder="1" applyAlignment="1">
      <alignment horizontal="center" vertical="center"/>
    </xf>
    <xf numFmtId="16" fontId="2" fillId="0" borderId="13" xfId="0" applyNumberFormat="1" applyFont="1" applyBorder="1" applyAlignment="1">
      <alignment horizontal="center" vertical="center"/>
    </xf>
    <xf numFmtId="16" fontId="2" fillId="0" borderId="17" xfId="0" applyNumberFormat="1" applyFont="1" applyBorder="1" applyAlignment="1">
      <alignment horizontal="center" vertical="center"/>
    </xf>
    <xf numFmtId="0" fontId="2" fillId="0" borderId="5" xfId="0" applyFont="1" applyBorder="1" applyAlignment="1">
      <alignment vertical="center"/>
    </xf>
    <xf numFmtId="40" fontId="2" fillId="0" borderId="5" xfId="1" applyNumberFormat="1" applyFont="1" applyBorder="1" applyAlignment="1">
      <alignment horizontal="center" vertical="center"/>
    </xf>
    <xf numFmtId="40" fontId="3" fillId="0" borderId="18" xfId="1" applyNumberFormat="1" applyFont="1" applyFill="1" applyBorder="1" applyAlignment="1">
      <alignment horizontal="center" vertical="center"/>
    </xf>
    <xf numFmtId="40" fontId="3" fillId="0" borderId="10" xfId="1" applyNumberFormat="1" applyFont="1" applyBorder="1" applyAlignment="1">
      <alignment horizontal="center" vertical="center"/>
    </xf>
    <xf numFmtId="40" fontId="3" fillId="0" borderId="12" xfId="1" applyNumberFormat="1" applyFont="1" applyFill="1" applyBorder="1" applyAlignment="1">
      <alignment horizontal="center" vertical="center"/>
    </xf>
    <xf numFmtId="40" fontId="3" fillId="0" borderId="5" xfId="1" applyNumberFormat="1" applyFont="1" applyBorder="1" applyAlignment="1">
      <alignment horizontal="center" vertical="center"/>
    </xf>
    <xf numFmtId="16" fontId="2" fillId="0" borderId="15" xfId="0" applyNumberFormat="1" applyFont="1" applyBorder="1" applyAlignment="1">
      <alignment horizontal="center" vertical="center"/>
    </xf>
    <xf numFmtId="40" fontId="2" fillId="0" borderId="16" xfId="1" applyNumberFormat="1" applyFont="1" applyFill="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16" fontId="2" fillId="0" borderId="28" xfId="0" applyNumberFormat="1" applyFont="1" applyBorder="1" applyAlignment="1">
      <alignment horizontal="center" vertical="center"/>
    </xf>
    <xf numFmtId="0" fontId="2" fillId="0" borderId="38" xfId="0" applyFont="1" applyBorder="1" applyAlignment="1">
      <alignment vertical="center"/>
    </xf>
    <xf numFmtId="40" fontId="2" fillId="0" borderId="38" xfId="1" applyNumberFormat="1" applyFont="1" applyBorder="1" applyAlignment="1">
      <alignment horizontal="center" vertical="center"/>
    </xf>
    <xf numFmtId="40" fontId="3" fillId="0" borderId="29" xfId="1" applyNumberFormat="1" applyFont="1" applyFill="1" applyBorder="1" applyAlignment="1">
      <alignment horizontal="center" vertical="center"/>
    </xf>
    <xf numFmtId="40" fontId="3" fillId="0" borderId="11" xfId="1" applyNumberFormat="1" applyFont="1" applyBorder="1" applyAlignment="1">
      <alignment horizontal="center" vertical="center"/>
    </xf>
    <xf numFmtId="40" fontId="3" fillId="0" borderId="30" xfId="1" applyNumberFormat="1" applyFont="1" applyBorder="1" applyAlignment="1">
      <alignment horizontal="center" vertical="center"/>
    </xf>
    <xf numFmtId="0" fontId="3" fillId="0" borderId="43" xfId="0" applyFont="1" applyBorder="1" applyAlignment="1">
      <alignment horizontal="center"/>
    </xf>
    <xf numFmtId="0" fontId="3" fillId="0" borderId="42" xfId="0" applyFont="1" applyBorder="1" applyAlignment="1">
      <alignment horizontal="center" vertical="center"/>
    </xf>
    <xf numFmtId="0" fontId="3" fillId="0" borderId="41" xfId="0" applyFont="1" applyBorder="1" applyAlignment="1">
      <alignment horizontal="center" vertical="center"/>
    </xf>
    <xf numFmtId="0" fontId="2" fillId="2" borderId="41" xfId="0" applyFont="1" applyFill="1" applyBorder="1" applyAlignment="1">
      <alignment horizontal="center"/>
    </xf>
    <xf numFmtId="0" fontId="2" fillId="2" borderId="24" xfId="0" applyFont="1" applyFill="1" applyBorder="1" applyAlignment="1">
      <alignment horizontal="center"/>
    </xf>
    <xf numFmtId="40" fontId="2" fillId="2" borderId="0" xfId="0" applyNumberFormat="1" applyFont="1" applyFill="1" applyAlignment="1">
      <alignment horizontal="center"/>
    </xf>
    <xf numFmtId="40" fontId="5" fillId="2" borderId="0" xfId="0" applyNumberFormat="1" applyFont="1" applyFill="1" applyAlignment="1">
      <alignment horizontal="center"/>
    </xf>
    <xf numFmtId="40" fontId="2" fillId="2" borderId="8" xfId="0" applyNumberFormat="1" applyFont="1" applyFill="1" applyBorder="1" applyAlignment="1">
      <alignment horizontal="center"/>
    </xf>
    <xf numFmtId="0" fontId="2" fillId="2" borderId="24" xfId="0" applyFont="1" applyFill="1" applyBorder="1"/>
    <xf numFmtId="0" fontId="2" fillId="2" borderId="56" xfId="0" applyFont="1" applyFill="1" applyBorder="1"/>
    <xf numFmtId="0" fontId="0" fillId="2" borderId="24" xfId="0" applyFill="1" applyBorder="1"/>
    <xf numFmtId="0" fontId="0" fillId="2" borderId="56" xfId="0" applyFill="1" applyBorder="1"/>
    <xf numFmtId="0" fontId="0" fillId="2" borderId="25" xfId="0" applyFill="1" applyBorder="1" applyAlignment="1">
      <alignment horizontal="center"/>
    </xf>
    <xf numFmtId="40" fontId="2" fillId="2" borderId="56" xfId="0" applyNumberFormat="1" applyFont="1" applyFill="1" applyBorder="1" applyAlignment="1">
      <alignment horizontal="center"/>
    </xf>
    <xf numFmtId="0" fontId="0" fillId="3" borderId="44" xfId="0" applyFill="1" applyBorder="1"/>
    <xf numFmtId="0" fontId="0" fillId="3" borderId="0" xfId="0" applyFill="1"/>
    <xf numFmtId="0" fontId="0" fillId="3" borderId="46" xfId="0" applyFill="1" applyBorder="1"/>
    <xf numFmtId="43" fontId="2" fillId="3" borderId="44" xfId="0" applyNumberFormat="1" applyFont="1" applyFill="1" applyBorder="1"/>
    <xf numFmtId="43" fontId="2" fillId="3" borderId="0" xfId="0" applyNumberFormat="1" applyFont="1" applyFill="1"/>
    <xf numFmtId="0" fontId="2" fillId="3" borderId="0" xfId="0" applyFont="1" applyFill="1"/>
    <xf numFmtId="0" fontId="2" fillId="3" borderId="44" xfId="0" applyFont="1" applyFill="1" applyBorder="1"/>
    <xf numFmtId="43" fontId="2" fillId="3" borderId="0" xfId="0" applyNumberFormat="1" applyFont="1" applyFill="1" applyAlignment="1">
      <alignment horizontal="left"/>
    </xf>
    <xf numFmtId="0" fontId="2" fillId="3" borderId="41" xfId="0" applyFont="1" applyFill="1" applyBorder="1"/>
    <xf numFmtId="0" fontId="2" fillId="3" borderId="55" xfId="0" applyFont="1" applyFill="1" applyBorder="1"/>
    <xf numFmtId="40" fontId="2" fillId="2" borderId="41" xfId="0" applyNumberFormat="1" applyFont="1" applyFill="1" applyBorder="1" applyAlignment="1">
      <alignment horizontal="center"/>
    </xf>
    <xf numFmtId="40" fontId="5" fillId="2" borderId="44" xfId="0" applyNumberFormat="1" applyFont="1" applyFill="1" applyBorder="1" applyAlignment="1">
      <alignment horizontal="center"/>
    </xf>
    <xf numFmtId="40" fontId="2" fillId="2" borderId="40" xfId="0" applyNumberFormat="1" applyFont="1" applyFill="1" applyBorder="1" applyAlignment="1">
      <alignment horizontal="center"/>
    </xf>
    <xf numFmtId="40" fontId="2" fillId="2" borderId="24" xfId="0" applyNumberFormat="1" applyFont="1" applyFill="1" applyBorder="1" applyAlignment="1">
      <alignment horizontal="center"/>
    </xf>
    <xf numFmtId="0" fontId="2" fillId="2" borderId="56" xfId="0" applyFont="1" applyFill="1" applyBorder="1" applyAlignment="1">
      <alignment horizontal="center"/>
    </xf>
    <xf numFmtId="0" fontId="2" fillId="2" borderId="44" xfId="0" applyFont="1" applyFill="1" applyBorder="1" applyAlignment="1">
      <alignment horizontal="center"/>
    </xf>
    <xf numFmtId="0" fontId="2" fillId="2" borderId="49" xfId="0" applyFont="1" applyFill="1" applyBorder="1" applyAlignment="1">
      <alignment horizontal="center"/>
    </xf>
    <xf numFmtId="0" fontId="2" fillId="2" borderId="57" xfId="0" applyFont="1" applyFill="1" applyBorder="1" applyAlignment="1">
      <alignment horizontal="center"/>
    </xf>
    <xf numFmtId="40" fontId="2" fillId="2" borderId="49" xfId="0" applyNumberFormat="1" applyFont="1" applyFill="1" applyBorder="1" applyAlignment="1">
      <alignment horizontal="center"/>
    </xf>
    <xf numFmtId="40" fontId="5" fillId="2" borderId="57" xfId="0" applyNumberFormat="1" applyFont="1" applyFill="1" applyBorder="1" applyAlignment="1">
      <alignment horizontal="center"/>
    </xf>
    <xf numFmtId="40" fontId="2" fillId="2" borderId="16" xfId="0" applyNumberFormat="1" applyFont="1" applyFill="1" applyBorder="1" applyAlignment="1">
      <alignment horizontal="center"/>
    </xf>
    <xf numFmtId="40" fontId="2" fillId="2" borderId="29" xfId="0" applyNumberFormat="1" applyFont="1" applyFill="1" applyBorder="1" applyAlignment="1">
      <alignment horizontal="center"/>
    </xf>
    <xf numFmtId="0" fontId="6" fillId="2" borderId="49" xfId="0" applyFont="1" applyFill="1" applyBorder="1" applyAlignment="1">
      <alignment horizontal="center"/>
    </xf>
    <xf numFmtId="0" fontId="7" fillId="2" borderId="29" xfId="0" applyFont="1" applyFill="1" applyBorder="1" applyAlignment="1">
      <alignment horizontal="center"/>
    </xf>
    <xf numFmtId="40" fontId="2" fillId="2" borderId="57" xfId="0" applyNumberFormat="1" applyFont="1" applyFill="1" applyBorder="1" applyAlignment="1">
      <alignment horizontal="center"/>
    </xf>
    <xf numFmtId="40" fontId="6" fillId="2" borderId="16" xfId="0" applyNumberFormat="1" applyFont="1" applyFill="1" applyBorder="1" applyAlignment="1">
      <alignment horizontal="center"/>
    </xf>
    <xf numFmtId="0" fontId="6" fillId="0" borderId="0" xfId="0" applyFont="1" applyAlignment="1">
      <alignment vertical="center"/>
    </xf>
    <xf numFmtId="0" fontId="2" fillId="0" borderId="0" xfId="0" applyFont="1" applyAlignment="1">
      <alignment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40" fontId="0" fillId="0" borderId="59" xfId="0" applyNumberFormat="1" applyBorder="1" applyAlignment="1">
      <alignment horizontal="center" vertical="center"/>
    </xf>
    <xf numFmtId="0" fontId="0" fillId="0" borderId="60" xfId="0" applyBorder="1" applyAlignment="1">
      <alignment horizontal="center" vertical="center"/>
    </xf>
    <xf numFmtId="40" fontId="0" fillId="0" borderId="60" xfId="0" applyNumberFormat="1" applyBorder="1" applyAlignment="1">
      <alignment horizontal="center" vertical="center"/>
    </xf>
    <xf numFmtId="0" fontId="0" fillId="0" borderId="61" xfId="0" applyBorder="1" applyAlignment="1">
      <alignment horizontal="center" vertical="center"/>
    </xf>
    <xf numFmtId="16" fontId="2" fillId="0" borderId="26" xfId="0" applyNumberFormat="1" applyFont="1" applyBorder="1" applyAlignment="1">
      <alignment horizontal="center"/>
    </xf>
    <xf numFmtId="0" fontId="2" fillId="0" borderId="35" xfId="0" applyFont="1" applyBorder="1" applyAlignment="1">
      <alignment horizontal="right"/>
    </xf>
    <xf numFmtId="164" fontId="2" fillId="0" borderId="35" xfId="0" applyNumberFormat="1" applyFont="1" applyBorder="1" applyAlignment="1">
      <alignment horizontal="center"/>
    </xf>
    <xf numFmtId="164" fontId="2" fillId="0" borderId="27" xfId="0" applyNumberFormat="1" applyFont="1" applyBorder="1" applyAlignment="1">
      <alignment horizontal="center"/>
    </xf>
    <xf numFmtId="0" fontId="2" fillId="0" borderId="20" xfId="0" applyFont="1" applyBorder="1" applyAlignment="1">
      <alignment horizontal="right"/>
    </xf>
    <xf numFmtId="164" fontId="2" fillId="0" borderId="53" xfId="0" applyNumberFormat="1" applyFont="1" applyBorder="1" applyAlignment="1">
      <alignment horizontal="center"/>
    </xf>
    <xf numFmtId="164" fontId="2" fillId="0" borderId="22" xfId="0" applyNumberFormat="1" applyFont="1" applyBorder="1" applyAlignment="1">
      <alignment horizontal="center"/>
    </xf>
    <xf numFmtId="164" fontId="2" fillId="0" borderId="3" xfId="0" applyNumberFormat="1" applyFont="1" applyBorder="1" applyAlignment="1">
      <alignment horizontal="center"/>
    </xf>
    <xf numFmtId="0" fontId="2" fillId="0" borderId="23" xfId="0" applyFont="1" applyBorder="1" applyAlignment="1">
      <alignment horizontal="center"/>
    </xf>
    <xf numFmtId="0" fontId="2" fillId="0" borderId="7" xfId="0" applyFont="1" applyBorder="1" applyAlignment="1">
      <alignment horizontal="left"/>
    </xf>
    <xf numFmtId="0" fontId="2" fillId="0" borderId="15" xfId="0" applyFont="1" applyBorder="1" applyAlignment="1">
      <alignment horizontal="center"/>
    </xf>
    <xf numFmtId="164" fontId="2" fillId="0" borderId="38" xfId="0" applyNumberFormat="1" applyFont="1" applyBorder="1" applyAlignment="1">
      <alignment horizontal="center"/>
    </xf>
    <xf numFmtId="0" fontId="3" fillId="0" borderId="20" xfId="0" applyFont="1" applyBorder="1" applyAlignment="1">
      <alignment horizontal="center"/>
    </xf>
    <xf numFmtId="0" fontId="3" fillId="0" borderId="22" xfId="0" applyFont="1" applyBorder="1" applyAlignment="1">
      <alignment horizontal="center"/>
    </xf>
    <xf numFmtId="0" fontId="3" fillId="0" borderId="15" xfId="0" applyFont="1" applyBorder="1" applyAlignment="1">
      <alignment horizontal="center" vertical="center"/>
    </xf>
    <xf numFmtId="0" fontId="3" fillId="0" borderId="17"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40" xfId="0" applyFont="1" applyBorder="1" applyAlignment="1">
      <alignment horizontal="center" vertical="center"/>
    </xf>
    <xf numFmtId="0" fontId="3" fillId="0" borderId="33"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50" xfId="0" applyFont="1" applyBorder="1" applyAlignment="1">
      <alignment horizontal="center"/>
    </xf>
    <xf numFmtId="0" fontId="3" fillId="0" borderId="49" xfId="0" applyFont="1" applyBorder="1" applyAlignment="1">
      <alignment horizontal="center"/>
    </xf>
    <xf numFmtId="0" fontId="3" fillId="0" borderId="48" xfId="0" applyFont="1" applyBorder="1" applyAlignment="1">
      <alignment horizontal="center"/>
    </xf>
    <xf numFmtId="0" fontId="3" fillId="0" borderId="50" xfId="0" applyFont="1" applyBorder="1" applyAlignment="1">
      <alignment horizontal="center" vertical="center"/>
    </xf>
    <xf numFmtId="0" fontId="3" fillId="0" borderId="28" xfId="0" applyFont="1" applyBorder="1" applyAlignment="1">
      <alignment horizontal="center" vertical="center"/>
    </xf>
    <xf numFmtId="0" fontId="3" fillId="0" borderId="51" xfId="0" applyFont="1" applyBorder="1" applyAlignment="1">
      <alignment horizontal="center" vertical="center"/>
    </xf>
    <xf numFmtId="0" fontId="3" fillId="0" borderId="38" xfId="0" applyFont="1" applyBorder="1" applyAlignment="1">
      <alignment horizontal="center" vertical="center"/>
    </xf>
    <xf numFmtId="0" fontId="3" fillId="0" borderId="53" xfId="0" applyFont="1" applyBorder="1" applyAlignment="1">
      <alignment horizontal="center"/>
    </xf>
    <xf numFmtId="0" fontId="3" fillId="0" borderId="54" xfId="0" applyFont="1" applyBorder="1" applyAlignment="1">
      <alignment horizontal="center" vertical="center"/>
    </xf>
    <xf numFmtId="0" fontId="3" fillId="0" borderId="52" xfId="0" applyFont="1" applyBorder="1" applyAlignment="1">
      <alignment horizontal="center" vertical="center"/>
    </xf>
    <xf numFmtId="0" fontId="3" fillId="0" borderId="37" xfId="0" applyFont="1" applyBorder="1" applyAlignment="1">
      <alignment horizontal="center"/>
    </xf>
    <xf numFmtId="0" fontId="3" fillId="0" borderId="27" xfId="0" applyFont="1" applyBorder="1" applyAlignment="1">
      <alignment horizontal="center"/>
    </xf>
    <xf numFmtId="0" fontId="3" fillId="0" borderId="23" xfId="0" applyFont="1" applyBorder="1" applyAlignment="1">
      <alignment horizontal="center" vertical="center"/>
    </xf>
    <xf numFmtId="0" fontId="3" fillId="0" borderId="7" xfId="0" applyFont="1" applyBorder="1" applyAlignment="1">
      <alignment horizontal="center" vertical="center"/>
    </xf>
    <xf numFmtId="0" fontId="2" fillId="0" borderId="13" xfId="0" applyFont="1" applyBorder="1" applyAlignment="1">
      <alignment horizontal="left" vertical="center" wrapText="1"/>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0" fontId="2" fillId="0" borderId="17" xfId="0" applyFont="1" applyBorder="1" applyAlignment="1">
      <alignment horizontal="left" vertical="center" wrapText="1"/>
    </xf>
    <xf numFmtId="0" fontId="2" fillId="0" borderId="5" xfId="0" applyFont="1" applyBorder="1" applyAlignment="1">
      <alignment horizontal="left" vertical="center" wrapText="1"/>
    </xf>
    <xf numFmtId="0" fontId="2" fillId="0" borderId="5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36" xfId="0" applyFont="1" applyBorder="1" applyAlignment="1">
      <alignment horizontal="left" vertical="center" wrapText="1"/>
    </xf>
    <xf numFmtId="0" fontId="2" fillId="2" borderId="44" xfId="0" applyFont="1" applyFill="1" applyBorder="1" applyAlignment="1">
      <alignment horizontal="left"/>
    </xf>
    <xf numFmtId="0" fontId="2" fillId="2" borderId="0" xfId="0" applyFont="1" applyFill="1" applyAlignment="1">
      <alignment horizontal="left"/>
    </xf>
    <xf numFmtId="0" fontId="2" fillId="2" borderId="46" xfId="0" applyFont="1" applyFill="1" applyBorder="1" applyAlignment="1">
      <alignment horizontal="left"/>
    </xf>
    <xf numFmtId="0" fontId="2" fillId="2" borderId="41" xfId="0" applyFont="1" applyFill="1" applyBorder="1" applyAlignment="1">
      <alignment horizontal="left"/>
    </xf>
    <xf numFmtId="0" fontId="2" fillId="2" borderId="55" xfId="0" applyFont="1" applyFill="1" applyBorder="1" applyAlignment="1">
      <alignment horizontal="left"/>
    </xf>
    <xf numFmtId="0" fontId="2" fillId="2" borderId="43" xfId="0" applyFont="1" applyFill="1" applyBorder="1" applyAlignment="1">
      <alignment horizontal="left"/>
    </xf>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0</xdr:rowOff>
    </xdr:from>
    <xdr:to>
      <xdr:col>17</xdr:col>
      <xdr:colOff>38100</xdr:colOff>
      <xdr:row>29</xdr:row>
      <xdr:rowOff>19050</xdr:rowOff>
    </xdr:to>
    <xdr:sp macro="" textlink="">
      <xdr:nvSpPr>
        <xdr:cNvPr id="2" name="TextBox 1">
          <a:extLst>
            <a:ext uri="{FF2B5EF4-FFF2-40B4-BE49-F238E27FC236}">
              <a16:creationId xmlns:a16="http://schemas.microsoft.com/office/drawing/2014/main" id="{99D4D733-9601-461E-B49E-F9DA45897F94}"/>
            </a:ext>
          </a:extLst>
        </xdr:cNvPr>
        <xdr:cNvSpPr txBox="1"/>
      </xdr:nvSpPr>
      <xdr:spPr>
        <a:xfrm>
          <a:off x="6400800" y="0"/>
          <a:ext cx="6743700" cy="79057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Aptos" panose="020B0004020202020204" pitchFamily="34" charset="0"/>
            </a:rPr>
            <a:t>Instructions</a:t>
          </a:r>
          <a:endParaRPr lang="en-US" sz="1100" b="0" i="0" u="none" strike="noStrike">
            <a:solidFill>
              <a:srgbClr val="000000"/>
            </a:solidFill>
            <a:latin typeface="Aptos" panose="020B0004020202020204" pitchFamily="34" charset="0"/>
          </a:endParaRPr>
        </a:p>
        <a:p>
          <a:pPr marL="0" indent="0" algn="l"/>
          <a:endParaRPr lang="en-US" sz="1100" b="0" i="0" u="none" strike="noStrike">
            <a:solidFill>
              <a:srgbClr val="000000"/>
            </a:solidFill>
            <a:latin typeface="Aptos" panose="020B0004020202020204" pitchFamily="34" charset="0"/>
          </a:endParaRPr>
        </a:p>
        <a:p>
          <a:pPr marL="0" indent="0" algn="l"/>
          <a:r>
            <a:rPr lang="en-US" sz="1100" b="0" i="0" u="none" strike="noStrike">
              <a:solidFill>
                <a:srgbClr val="000000"/>
              </a:solidFill>
              <a:latin typeface="Aptos" panose="020B0004020202020204" pitchFamily="34" charset="0"/>
            </a:rPr>
            <a:t>Of the transactions, there are those pertaining to Sales, Purchases, and General (i.e., income/expenses that have either nothing to do with customers/suppliers, or are the actual payment with customers/suppliers.). Remember, the Sales are Receivables, and Purchases are Payables - i.e., no exchange of funds until a later date, only the exchange of goods/service. Therefore, Sales book are customers on credit terms, Purchases book are suppliers whom we're on credit terms with, and General is the actual exchange of funds (i.e., the actual recording of money). Therefore,</a:t>
          </a:r>
        </a:p>
        <a:p>
          <a:pPr marL="0" indent="0" algn="l"/>
          <a:endParaRPr lang="en-US" sz="1100" b="0" i="0" u="none" strike="noStrike">
            <a:solidFill>
              <a:srgbClr val="000000"/>
            </a:solidFill>
            <a:latin typeface="Aptos" panose="020B0004020202020204" pitchFamily="34" charset="0"/>
          </a:endParaRPr>
        </a:p>
        <a:p>
          <a:pPr marL="0" indent="0" algn="l"/>
          <a:r>
            <a:rPr lang="en-US" sz="1100" b="0" i="0" u="none" strike="noStrike">
              <a:solidFill>
                <a:srgbClr val="000000"/>
              </a:solidFill>
              <a:latin typeface="Aptos" panose="020B0004020202020204" pitchFamily="34" charset="0"/>
            </a:rPr>
            <a:t>1. Look at the nature of the transaction, if it pertains to a customer and states their is a credit term, they fall within the sales ledger and sales sub-accounts. If it pertains to a supplier and states their is a credit term, they fall within the purchases ledger and purchases sub-accounts. For anything else that is the actual exchange of funds, they fall within the cash book (lodged/drawn).</a:t>
          </a:r>
        </a:p>
        <a:p>
          <a:pPr marL="0" indent="0" algn="l"/>
          <a:endParaRPr lang="en-US" sz="1100" b="0" i="0" u="none" strike="noStrike">
            <a:solidFill>
              <a:srgbClr val="000000"/>
            </a:solidFill>
            <a:latin typeface="Aptos" panose="020B0004020202020204" pitchFamily="34" charset="0"/>
          </a:endParaRPr>
        </a:p>
        <a:p>
          <a:pPr marL="0" indent="0" algn="l"/>
          <a:r>
            <a:rPr lang="en-US" sz="1100" b="0" i="0" u="none" strike="noStrike">
              <a:solidFill>
                <a:srgbClr val="000000"/>
              </a:solidFill>
              <a:latin typeface="Aptos" panose="020B0004020202020204" pitchFamily="34" charset="0"/>
            </a:rPr>
            <a:t>2. Pay particular interest on the specifics of funds like the VAT tax attached; if they state the amount is inclusive of VAT, it means VAT is included in the price - so we take the gross amount and divide by 6 to get the 20% VAT amount, then subtract to get net. They may also give the net amount instead of gross - so we take the net amount and multiple by 20% then add to get gross. Lastly, they may state zero VAT, or VAT exempt - therefore, it's crucial that you pay particular interest to the wording.</a:t>
          </a:r>
        </a:p>
        <a:p>
          <a:pPr marL="0" indent="0" algn="l"/>
          <a:endParaRPr lang="en-US" sz="1100" b="0" i="0" u="none" strike="noStrike">
            <a:solidFill>
              <a:srgbClr val="000000"/>
            </a:solidFill>
            <a:latin typeface="Aptos" panose="020B0004020202020204" pitchFamily="34" charset="0"/>
          </a:endParaRPr>
        </a:p>
        <a:p>
          <a:pPr marL="0" indent="0" algn="l"/>
          <a:r>
            <a:rPr lang="en-US" sz="1100" b="0" i="0" u="none" strike="noStrike">
              <a:solidFill>
                <a:srgbClr val="000000"/>
              </a:solidFill>
              <a:latin typeface="Aptos" panose="020B0004020202020204" pitchFamily="34" charset="0"/>
            </a:rPr>
            <a:t>3. For the sales and purchases that are subject to a credit term, if they are settled within a specific period, they/we receive a discount at the rate stated - therefore, it's important to pay particular attention here also. We subtract the amount allowed/received as a discount from the total due and that is added to cash/bank in the cash book and the discount amount is added to either discount allowed for a customer, or discount receved from a supplier.</a:t>
          </a:r>
        </a:p>
        <a:p>
          <a:pPr marL="0" indent="0" algn="l"/>
          <a:endParaRPr lang="en-US" sz="1100" b="0" i="0" u="none" strike="noStrike">
            <a:solidFill>
              <a:srgbClr val="000000"/>
            </a:solidFill>
            <a:latin typeface="Aptos" panose="020B0004020202020204" pitchFamily="34" charset="0"/>
          </a:endParaRPr>
        </a:p>
        <a:p>
          <a:pPr marL="0" indent="0" algn="l"/>
          <a:r>
            <a:rPr lang="en-US" sz="1100" b="0" i="0" u="none" strike="noStrike">
              <a:solidFill>
                <a:srgbClr val="000000"/>
              </a:solidFill>
              <a:latin typeface="Aptos" panose="020B0004020202020204" pitchFamily="34" charset="0"/>
            </a:rPr>
            <a:t>4. Once daybooks are done, pay particular attention to the Debit and Credit of the Gross, VAT, and Net amounts becuase they are crucial when transferring over to the ledgers. Sales ledger sub-accounts; Gross goes to sales ledger, VAT goes to VAT account in the General Ledger, and Net goes to their respective sub-accounts within the General Ledger. Purchases ledger sub-accounts; Gross goes to purchase ledger, VAT goes to VAT account in the General Ledger, and Net goes to their respective sub-accounts within the General Ledger.</a:t>
          </a:r>
        </a:p>
        <a:p>
          <a:pPr marL="0" indent="0" algn="l"/>
          <a:endParaRPr lang="en-US" sz="1100" b="0" i="0" u="none" strike="noStrike">
            <a:solidFill>
              <a:srgbClr val="000000"/>
            </a:solidFill>
            <a:latin typeface="Aptos" panose="020B0004020202020204" pitchFamily="34" charset="0"/>
          </a:endParaRPr>
        </a:p>
        <a:p>
          <a:pPr marL="0" indent="0" algn="l"/>
          <a:r>
            <a:rPr lang="en-US" sz="1100" b="0" i="0" u="none" strike="noStrike">
              <a:solidFill>
                <a:srgbClr val="000000"/>
              </a:solidFill>
              <a:latin typeface="Aptos" panose="020B0004020202020204" pitchFamily="34" charset="0"/>
            </a:rPr>
            <a:t>5. Once daybooks are transferred to the ledgers, we then balance them down - i.e., debits - credits (and vise versa) until we have an end balance (will be either debit end-balance, or credit end-balance). The end balances will then be added to produce the Trial Balance.</a:t>
          </a:r>
        </a:p>
        <a:p>
          <a:pPr marL="0" indent="0" algn="l"/>
          <a:endParaRPr lang="en-US" sz="1100" b="0" i="0" u="none" strike="noStrike">
            <a:solidFill>
              <a:srgbClr val="000000"/>
            </a:solidFill>
            <a:latin typeface="Aptos" panose="020B0004020202020204" pitchFamily="34" charset="0"/>
          </a:endParaRPr>
        </a:p>
        <a:p>
          <a:pPr marL="0" indent="0" algn="l"/>
          <a:r>
            <a:rPr lang="en-US" sz="1100" b="0" i="0" u="none" strike="noStrike">
              <a:solidFill>
                <a:srgbClr val="000000"/>
              </a:solidFill>
              <a:latin typeface="Aptos" panose="020B0004020202020204" pitchFamily="34" charset="0"/>
            </a:rPr>
            <a:t>6. Once Trial Balance is done, we move to produce a VAT Return. The VAT amount and Net amount of every account is needed for the VAT Return. The VAT amount gives us the Input/Output VAT, and the Net gives us the Value of the VAT. Once you're on that part, you'll see it's rather self-explanatory.</a:t>
          </a:r>
          <a:endParaRPr lang="en-US" sz="1100" b="0" i="1" u="none" strike="noStrike">
            <a:solidFill>
              <a:srgbClr val="000000"/>
            </a:solidFill>
            <a:latin typeface="Aptos" panose="020B0004020202020204" pitchFamily="34" charset="0"/>
          </a:endParaRPr>
        </a:p>
        <a:p>
          <a:pPr marL="0" indent="0" algn="l"/>
          <a:endParaRPr lang="en-US" sz="1100" b="0" i="1" u="none" strike="noStrike">
            <a:solidFill>
              <a:srgbClr val="000000"/>
            </a:solidFill>
            <a:latin typeface="Aptos" panose="020B0004020202020204" pitchFamily="34" charset="0"/>
          </a:endParaRPr>
        </a:p>
        <a:p>
          <a:pPr marL="0" indent="0" algn="l"/>
          <a:r>
            <a:rPr lang="en-US" sz="1100" b="0" i="1" u="none" strike="noStrike">
              <a:solidFill>
                <a:srgbClr val="000000"/>
              </a:solidFill>
              <a:latin typeface="Aptos" panose="020B0004020202020204" pitchFamily="34" charset="0"/>
            </a:rPr>
            <a:t>If at any time you find yourself stuck, refer to the Solutions - these are completed and have some notes along the way - however, it's important that I not make this too simple becuase it removes your need to develop and improve a critical thinking ability. If you still feel lost, please reach out to me via the email icon on the app (it's either on the header, or inside the sidebar at the very bottom).</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abSelected="1" topLeftCell="A3" workbookViewId="0">
      <selection activeCell="J31" sqref="J31"/>
    </sheetView>
  </sheetViews>
  <sheetFormatPr defaultRowHeight="15"/>
  <cols>
    <col min="1" max="1" width="9.140625" style="1"/>
    <col min="2" max="2" width="50.28515625" style="1" customWidth="1"/>
    <col min="3" max="16384" width="9.140625" style="1"/>
  </cols>
  <sheetData>
    <row r="1" spans="1:2">
      <c r="A1" s="1" t="s">
        <v>0</v>
      </c>
    </row>
    <row r="2" spans="1:2">
      <c r="A2" s="1" t="s">
        <v>1</v>
      </c>
    </row>
    <row r="4" spans="1:2">
      <c r="A4" s="1" t="s">
        <v>2</v>
      </c>
    </row>
    <row r="5" spans="1:2">
      <c r="A5" s="1" t="s">
        <v>3</v>
      </c>
    </row>
    <row r="7" spans="1:2">
      <c r="A7" s="1" t="s">
        <v>4</v>
      </c>
    </row>
    <row r="8" spans="1:2">
      <c r="A8" s="1" t="s">
        <v>5</v>
      </c>
    </row>
    <row r="9" spans="1:2">
      <c r="A9" s="1" t="s">
        <v>6</v>
      </c>
    </row>
    <row r="11" spans="1:2">
      <c r="A11" s="1" t="s">
        <v>7</v>
      </c>
    </row>
    <row r="12" spans="1:2">
      <c r="A12" s="1" t="s">
        <v>8</v>
      </c>
    </row>
    <row r="14" spans="1:2">
      <c r="A14" s="2" t="s">
        <v>9</v>
      </c>
    </row>
    <row r="15" spans="1:2">
      <c r="A15" s="2"/>
    </row>
    <row r="16" spans="1:2" ht="29.25">
      <c r="A16" s="10">
        <v>46174</v>
      </c>
      <c r="B16" s="7" t="s">
        <v>10</v>
      </c>
    </row>
    <row r="17" spans="1:2" ht="45.75">
      <c r="A17" s="8">
        <v>45809</v>
      </c>
      <c r="B17" s="9" t="s">
        <v>11</v>
      </c>
    </row>
    <row r="18" spans="1:2" ht="30.75">
      <c r="A18" s="3">
        <v>45809</v>
      </c>
      <c r="B18" s="4" t="s">
        <v>12</v>
      </c>
    </row>
    <row r="19" spans="1:2" ht="30.75">
      <c r="A19" s="3">
        <v>45810</v>
      </c>
      <c r="B19" s="4" t="s">
        <v>13</v>
      </c>
    </row>
    <row r="20" spans="1:2" ht="30.75">
      <c r="A20" s="3">
        <v>45812</v>
      </c>
      <c r="B20" s="4" t="s">
        <v>14</v>
      </c>
    </row>
    <row r="21" spans="1:2" ht="30.75">
      <c r="A21" s="3">
        <v>45813</v>
      </c>
      <c r="B21" s="4" t="s">
        <v>15</v>
      </c>
    </row>
    <row r="22" spans="1:2" ht="30.75">
      <c r="A22" s="3">
        <v>45813</v>
      </c>
      <c r="B22" s="4" t="s">
        <v>16</v>
      </c>
    </row>
    <row r="23" spans="1:2">
      <c r="A23" s="3">
        <v>45815</v>
      </c>
      <c r="B23" s="5" t="s">
        <v>17</v>
      </c>
    </row>
    <row r="24" spans="1:2">
      <c r="A24" s="3">
        <v>45816</v>
      </c>
      <c r="B24" s="5" t="s">
        <v>18</v>
      </c>
    </row>
    <row r="25" spans="1:2" ht="30.75">
      <c r="A25" s="3">
        <v>45820</v>
      </c>
      <c r="B25" s="5" t="s">
        <v>19</v>
      </c>
    </row>
    <row r="26" spans="1:2" ht="30.75">
      <c r="A26" s="3">
        <v>45822</v>
      </c>
      <c r="B26" s="5" t="s">
        <v>20</v>
      </c>
    </row>
    <row r="27" spans="1:2" ht="45.75">
      <c r="A27" s="3">
        <v>45823</v>
      </c>
      <c r="B27" s="5" t="s">
        <v>21</v>
      </c>
    </row>
    <row r="28" spans="1:2">
      <c r="A28" s="3">
        <v>45828</v>
      </c>
      <c r="B28" s="5" t="s">
        <v>22</v>
      </c>
    </row>
    <row r="29" spans="1:2">
      <c r="A29" s="3">
        <v>45829</v>
      </c>
      <c r="B29" s="5" t="s">
        <v>23</v>
      </c>
    </row>
    <row r="30" spans="1:2" ht="45.75">
      <c r="A30" s="3">
        <v>45832</v>
      </c>
      <c r="B30" s="6" t="s">
        <v>24</v>
      </c>
    </row>
    <row r="31" spans="1:2">
      <c r="A31" s="3">
        <v>45832</v>
      </c>
      <c r="B31" s="5" t="s">
        <v>25</v>
      </c>
    </row>
    <row r="32" spans="1:2" ht="30.75">
      <c r="A32" s="3">
        <v>45832</v>
      </c>
      <c r="B32" s="5" t="s">
        <v>26</v>
      </c>
    </row>
    <row r="33" spans="1:2" ht="30.75">
      <c r="A33" s="3">
        <v>45834</v>
      </c>
      <c r="B33" s="5" t="s">
        <v>27</v>
      </c>
    </row>
    <row r="34" spans="1:2" ht="30.75">
      <c r="A34" s="3">
        <v>45834</v>
      </c>
      <c r="B34" s="5" t="s">
        <v>28</v>
      </c>
    </row>
    <row r="35" spans="1:2" ht="30.75">
      <c r="A35" s="3">
        <v>45835</v>
      </c>
      <c r="B35" s="5" t="s">
        <v>29</v>
      </c>
    </row>
    <row r="36" spans="1:2">
      <c r="A36" s="3">
        <v>45836</v>
      </c>
      <c r="B36" s="5" t="s">
        <v>30</v>
      </c>
    </row>
    <row r="37" spans="1:2" ht="30.75">
      <c r="A37" s="3">
        <v>45836</v>
      </c>
      <c r="B37" s="5" t="s">
        <v>31</v>
      </c>
    </row>
    <row r="38" spans="1:2" ht="30.75">
      <c r="A38" s="3">
        <v>45838</v>
      </c>
      <c r="B38" s="5"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BDE7-A11B-44CA-B677-6E6399C12412}">
  <dimension ref="A3:X47"/>
  <sheetViews>
    <sheetView workbookViewId="0">
      <selection activeCell="J32" sqref="J32"/>
    </sheetView>
  </sheetViews>
  <sheetFormatPr defaultRowHeight="15"/>
  <cols>
    <col min="1" max="1" width="9.140625" style="1"/>
    <col min="2" max="2" width="18.85546875" style="1" bestFit="1" customWidth="1"/>
    <col min="3" max="7" width="9.140625" style="1"/>
    <col min="8" max="8" width="17.28515625" style="1" bestFit="1" customWidth="1"/>
    <col min="9" max="13" width="9.140625" style="1"/>
    <col min="14" max="14" width="21.42578125" style="1" bestFit="1" customWidth="1"/>
    <col min="15" max="17" width="9.140625" style="1"/>
    <col min="18" max="18" width="21.28515625" style="1" bestFit="1" customWidth="1"/>
    <col min="19" max="19" width="18.28515625" style="1" bestFit="1" customWidth="1"/>
    <col min="20" max="20" width="10.42578125" style="1" bestFit="1" customWidth="1"/>
    <col min="21" max="21" width="13.5703125" style="1" bestFit="1" customWidth="1"/>
    <col min="22" max="22" width="12" style="1" bestFit="1" customWidth="1"/>
    <col min="23" max="23" width="9" style="1" bestFit="1" customWidth="1"/>
    <col min="24" max="16384" width="9.140625" style="1"/>
  </cols>
  <sheetData>
    <row r="3" spans="1:24">
      <c r="M3" s="30"/>
    </row>
    <row r="4" spans="1:24">
      <c r="A4" s="184" t="s">
        <v>33</v>
      </c>
      <c r="B4" s="185"/>
      <c r="C4" s="11" t="s">
        <v>34</v>
      </c>
      <c r="D4" s="11" t="s">
        <v>35</v>
      </c>
      <c r="E4" s="11" t="s">
        <v>35</v>
      </c>
      <c r="G4" s="184" t="s">
        <v>36</v>
      </c>
      <c r="H4" s="185"/>
      <c r="I4" s="11" t="s">
        <v>35</v>
      </c>
      <c r="J4" s="11" t="s">
        <v>34</v>
      </c>
      <c r="K4" s="11" t="s">
        <v>34</v>
      </c>
      <c r="M4" s="184" t="s">
        <v>37</v>
      </c>
      <c r="N4" s="185"/>
      <c r="O4" s="12" t="s">
        <v>38</v>
      </c>
      <c r="P4" s="12" t="str">
        <f>O4</f>
        <v>Cr</v>
      </c>
      <c r="Q4" s="12" t="str">
        <f>P4</f>
        <v>Cr</v>
      </c>
      <c r="R4" s="12" t="str">
        <f>Q4</f>
        <v>Cr</v>
      </c>
      <c r="S4" s="12" t="str">
        <f>R4</f>
        <v>Cr</v>
      </c>
      <c r="T4" s="12" t="str">
        <f>S4</f>
        <v>Cr</v>
      </c>
      <c r="X4" s="12"/>
    </row>
    <row r="5" spans="1:24">
      <c r="A5" s="186" t="s">
        <v>39</v>
      </c>
      <c r="B5" s="188" t="s">
        <v>40</v>
      </c>
      <c r="C5" s="24" t="s">
        <v>41</v>
      </c>
      <c r="D5" s="25" t="s">
        <v>42</v>
      </c>
      <c r="E5" s="26" t="s">
        <v>43</v>
      </c>
      <c r="G5" s="190" t="s">
        <v>39</v>
      </c>
      <c r="H5" s="188" t="s">
        <v>44</v>
      </c>
      <c r="I5" s="24" t="s">
        <v>41</v>
      </c>
      <c r="J5" s="25" t="s">
        <v>42</v>
      </c>
      <c r="K5" s="26" t="s">
        <v>43</v>
      </c>
      <c r="M5" s="39" t="s">
        <v>39</v>
      </c>
      <c r="N5" s="41" t="s">
        <v>45</v>
      </c>
      <c r="O5" s="36" t="s">
        <v>46</v>
      </c>
      <c r="P5" s="37" t="s">
        <v>47</v>
      </c>
      <c r="Q5" s="36" t="s">
        <v>42</v>
      </c>
      <c r="R5" s="36" t="s">
        <v>48</v>
      </c>
      <c r="S5" s="36" t="s">
        <v>49</v>
      </c>
      <c r="T5" s="38" t="s">
        <v>50</v>
      </c>
      <c r="U5" s="12"/>
      <c r="V5" s="12"/>
      <c r="W5" s="12"/>
      <c r="X5" s="12"/>
    </row>
    <row r="6" spans="1:24">
      <c r="A6" s="187"/>
      <c r="B6" s="189"/>
      <c r="C6" s="28" t="s">
        <v>51</v>
      </c>
      <c r="D6" s="27" t="s">
        <v>51</v>
      </c>
      <c r="E6" s="29" t="s">
        <v>51</v>
      </c>
      <c r="G6" s="191"/>
      <c r="H6" s="189"/>
      <c r="I6" s="28" t="s">
        <v>51</v>
      </c>
      <c r="J6" s="27" t="s">
        <v>51</v>
      </c>
      <c r="K6" s="29" t="s">
        <v>51</v>
      </c>
      <c r="M6" s="42"/>
      <c r="N6" s="46"/>
      <c r="O6" s="57"/>
      <c r="P6" s="57"/>
      <c r="Q6" s="57"/>
      <c r="R6" s="57"/>
      <c r="S6" s="57"/>
      <c r="T6" s="58"/>
      <c r="U6" s="12"/>
      <c r="V6" s="12"/>
      <c r="W6" s="12"/>
      <c r="X6" s="12"/>
    </row>
    <row r="7" spans="1:24">
      <c r="A7" s="42"/>
      <c r="B7" s="46"/>
      <c r="C7" s="49"/>
      <c r="D7" s="49"/>
      <c r="E7" s="50"/>
      <c r="G7" s="42"/>
      <c r="H7" s="46"/>
      <c r="I7" s="49"/>
      <c r="J7" s="49"/>
      <c r="K7" s="50"/>
      <c r="M7" s="43"/>
      <c r="N7" s="47"/>
      <c r="O7" s="59"/>
      <c r="P7" s="59"/>
      <c r="Q7" s="59"/>
      <c r="R7" s="59"/>
      <c r="S7" s="59"/>
      <c r="T7" s="60"/>
      <c r="U7" s="12"/>
      <c r="V7" s="12"/>
      <c r="W7" s="12"/>
      <c r="X7" s="12"/>
    </row>
    <row r="8" spans="1:24">
      <c r="A8" s="43"/>
      <c r="B8" s="47"/>
      <c r="C8" s="51"/>
      <c r="D8" s="51"/>
      <c r="E8" s="52"/>
      <c r="G8" s="43"/>
      <c r="H8" s="47"/>
      <c r="I8" s="51"/>
      <c r="J8" s="51"/>
      <c r="K8" s="52"/>
      <c r="M8" s="43"/>
      <c r="N8" s="47"/>
      <c r="O8" s="59"/>
      <c r="P8" s="59"/>
      <c r="Q8" s="59"/>
      <c r="R8" s="59"/>
      <c r="S8" s="59"/>
      <c r="T8" s="60"/>
      <c r="U8" s="12"/>
      <c r="V8" s="12"/>
      <c r="W8" s="12"/>
    </row>
    <row r="9" spans="1:24">
      <c r="A9" s="43"/>
      <c r="B9" s="47"/>
      <c r="C9" s="51"/>
      <c r="D9" s="51"/>
      <c r="E9" s="52"/>
      <c r="G9" s="43"/>
      <c r="H9" s="47"/>
      <c r="I9" s="51"/>
      <c r="J9" s="51"/>
      <c r="K9" s="52"/>
      <c r="M9" s="43"/>
      <c r="N9" s="47"/>
      <c r="O9" s="59"/>
      <c r="P9" s="59"/>
      <c r="Q9" s="59"/>
      <c r="R9" s="59"/>
      <c r="S9" s="59"/>
      <c r="T9" s="60"/>
      <c r="U9" s="12"/>
      <c r="V9" s="12"/>
      <c r="W9" s="12"/>
    </row>
    <row r="10" spans="1:24">
      <c r="A10" s="43"/>
      <c r="B10" s="47"/>
      <c r="C10" s="51"/>
      <c r="D10" s="51"/>
      <c r="E10" s="52"/>
      <c r="G10" s="43"/>
      <c r="H10" s="47"/>
      <c r="I10" s="51"/>
      <c r="J10" s="51"/>
      <c r="K10" s="52"/>
      <c r="M10" s="43"/>
      <c r="N10" s="47"/>
      <c r="O10" s="59"/>
      <c r="P10" s="59"/>
      <c r="Q10" s="59"/>
      <c r="R10" s="59"/>
      <c r="S10" s="59"/>
      <c r="T10" s="60"/>
      <c r="U10" s="12"/>
      <c r="V10" s="12"/>
      <c r="W10" s="12"/>
    </row>
    <row r="11" spans="1:24">
      <c r="A11" s="44"/>
      <c r="B11" s="47"/>
      <c r="C11" s="53"/>
      <c r="D11" s="53"/>
      <c r="E11" s="54"/>
      <c r="G11" s="44"/>
      <c r="H11" s="47"/>
      <c r="I11" s="53"/>
      <c r="J11" s="53"/>
      <c r="K11" s="54"/>
      <c r="M11" s="44"/>
      <c r="N11" s="47"/>
      <c r="O11" s="61"/>
      <c r="P11" s="61"/>
      <c r="Q11" s="61"/>
      <c r="R11" s="61"/>
      <c r="S11" s="61"/>
      <c r="T11" s="62"/>
      <c r="U11" s="12"/>
      <c r="V11" s="12"/>
      <c r="W11" s="12"/>
    </row>
    <row r="12" spans="1:24">
      <c r="A12" s="45"/>
      <c r="B12" s="48"/>
      <c r="C12" s="55">
        <f>SUM(C7:C11)</f>
        <v>0</v>
      </c>
      <c r="D12" s="56">
        <f>SUM(D7:D11)</f>
        <v>0</v>
      </c>
      <c r="E12" s="56">
        <f>SUM(E7:E11)</f>
        <v>0</v>
      </c>
      <c r="G12" s="45"/>
      <c r="H12" s="48"/>
      <c r="I12" s="55">
        <f>SUM(I7:I11)</f>
        <v>0</v>
      </c>
      <c r="J12" s="56">
        <f>SUM(J7:J11)</f>
        <v>0</v>
      </c>
      <c r="K12" s="56">
        <f>SUM(K7:K11)</f>
        <v>0</v>
      </c>
      <c r="M12" s="45"/>
      <c r="N12" s="48"/>
      <c r="O12" s="63">
        <f>SUM(O6:O11)</f>
        <v>0</v>
      </c>
      <c r="P12" s="64">
        <f>SUM(P6:P11)</f>
        <v>0</v>
      </c>
      <c r="Q12" s="64">
        <f>SUM(Q6:Q11)</f>
        <v>0</v>
      </c>
      <c r="R12" s="64">
        <f>SUM(R6:R11)</f>
        <v>0</v>
      </c>
      <c r="S12" s="64">
        <f>SUM(S6:S11)</f>
        <v>0</v>
      </c>
      <c r="T12" s="64">
        <f>SUM(T6:T11)</f>
        <v>0</v>
      </c>
      <c r="U12" s="12"/>
      <c r="V12" s="12"/>
      <c r="W12" s="12"/>
    </row>
    <row r="13" spans="1:24">
      <c r="O13" s="65"/>
      <c r="P13" s="65"/>
      <c r="Q13" s="65"/>
      <c r="R13" s="65"/>
      <c r="S13" s="65"/>
      <c r="T13" s="65"/>
      <c r="U13" s="12"/>
      <c r="V13" s="12"/>
      <c r="W13" s="12"/>
    </row>
    <row r="14" spans="1:24">
      <c r="A14" s="184" t="s">
        <v>52</v>
      </c>
      <c r="B14" s="185"/>
      <c r="C14" s="11" t="s">
        <v>35</v>
      </c>
      <c r="D14" s="11" t="s">
        <v>34</v>
      </c>
      <c r="E14" s="11" t="s">
        <v>34</v>
      </c>
      <c r="G14" s="184" t="s">
        <v>53</v>
      </c>
      <c r="H14" s="185"/>
      <c r="I14" s="11" t="s">
        <v>34</v>
      </c>
      <c r="J14" s="11" t="s">
        <v>35</v>
      </c>
      <c r="K14" s="11" t="s">
        <v>35</v>
      </c>
      <c r="N14" s="176" t="s">
        <v>54</v>
      </c>
      <c r="O14" s="177">
        <f>O26</f>
        <v>0</v>
      </c>
      <c r="P14" s="178">
        <f>P26</f>
        <v>0</v>
      </c>
      <c r="Q14" s="65"/>
      <c r="R14" s="65"/>
      <c r="S14" s="65"/>
      <c r="T14" s="65"/>
      <c r="U14" s="12"/>
      <c r="V14" s="12"/>
      <c r="W14" s="12"/>
    </row>
    <row r="15" spans="1:24">
      <c r="A15" s="186" t="str">
        <f>A5</f>
        <v>Date</v>
      </c>
      <c r="B15" s="188" t="s">
        <v>40</v>
      </c>
      <c r="C15" s="25" t="str">
        <f t="shared" ref="C15:F15" si="0">C5</f>
        <v>Gross</v>
      </c>
      <c r="D15" s="25" t="str">
        <f t="shared" si="0"/>
        <v>VAT</v>
      </c>
      <c r="E15" s="26" t="str">
        <f t="shared" si="0"/>
        <v>Net</v>
      </c>
      <c r="G15" s="190" t="str">
        <f>G5</f>
        <v>Date</v>
      </c>
      <c r="H15" s="188" t="s">
        <v>44</v>
      </c>
      <c r="I15" s="24" t="str">
        <f t="shared" ref="I15:L15" si="1">I5</f>
        <v>Gross</v>
      </c>
      <c r="J15" s="25" t="str">
        <f t="shared" si="1"/>
        <v>VAT</v>
      </c>
      <c r="K15" s="26" t="str">
        <f t="shared" si="1"/>
        <v>Net</v>
      </c>
      <c r="U15" s="12"/>
      <c r="V15" s="12"/>
      <c r="W15" s="12"/>
    </row>
    <row r="16" spans="1:24">
      <c r="A16" s="187"/>
      <c r="B16" s="189"/>
      <c r="C16" s="27" t="s">
        <v>51</v>
      </c>
      <c r="D16" s="27" t="s">
        <v>51</v>
      </c>
      <c r="E16" s="29" t="s">
        <v>51</v>
      </c>
      <c r="G16" s="191"/>
      <c r="H16" s="189"/>
      <c r="I16" s="28" t="s">
        <v>51</v>
      </c>
      <c r="J16" s="27" t="s">
        <v>51</v>
      </c>
      <c r="K16" s="29" t="s">
        <v>51</v>
      </c>
      <c r="M16" s="184" t="s">
        <v>55</v>
      </c>
      <c r="N16" s="185"/>
      <c r="O16" s="12" t="s">
        <v>56</v>
      </c>
      <c r="P16" s="12" t="str">
        <f>O16</f>
        <v>Dr</v>
      </c>
      <c r="Q16" s="12" t="str">
        <f>P16</f>
        <v>Dr</v>
      </c>
      <c r="R16" s="12" t="str">
        <f>Q16</f>
        <v>Dr</v>
      </c>
      <c r="S16" s="12" t="str">
        <f>R16</f>
        <v>Dr</v>
      </c>
      <c r="T16" s="12" t="str">
        <f>S16</f>
        <v>Dr</v>
      </c>
      <c r="U16" s="12" t="str">
        <f>T16</f>
        <v>Dr</v>
      </c>
      <c r="V16" s="12" t="str">
        <f>U16</f>
        <v>Dr</v>
      </c>
      <c r="W16" s="12" t="str">
        <f>V16</f>
        <v>Dr</v>
      </c>
    </row>
    <row r="17" spans="1:23">
      <c r="A17" s="42"/>
      <c r="B17" s="46"/>
      <c r="C17" s="49"/>
      <c r="D17" s="49"/>
      <c r="E17" s="50"/>
      <c r="G17" s="42"/>
      <c r="H17" s="46"/>
      <c r="I17" s="49"/>
      <c r="J17" s="49"/>
      <c r="K17" s="50"/>
      <c r="M17" s="39" t="s">
        <v>39</v>
      </c>
      <c r="N17" s="40" t="s">
        <v>45</v>
      </c>
      <c r="O17" s="36" t="s">
        <v>46</v>
      </c>
      <c r="P17" s="36" t="s">
        <v>47</v>
      </c>
      <c r="Q17" s="36" t="s">
        <v>42</v>
      </c>
      <c r="R17" s="36" t="s">
        <v>57</v>
      </c>
      <c r="S17" s="36" t="s">
        <v>58</v>
      </c>
      <c r="T17" s="36" t="s">
        <v>59</v>
      </c>
      <c r="U17" s="36" t="s">
        <v>60</v>
      </c>
      <c r="V17" s="36" t="s">
        <v>61</v>
      </c>
      <c r="W17" s="38" t="s">
        <v>62</v>
      </c>
    </row>
    <row r="18" spans="1:23">
      <c r="A18" s="43"/>
      <c r="B18" s="47"/>
      <c r="C18" s="51"/>
      <c r="D18" s="51"/>
      <c r="E18" s="52"/>
      <c r="G18" s="44"/>
      <c r="H18" s="47"/>
      <c r="I18" s="51"/>
      <c r="J18" s="51"/>
      <c r="K18" s="52"/>
      <c r="M18" s="42"/>
      <c r="N18" s="46"/>
      <c r="O18" s="57"/>
      <c r="P18" s="57"/>
      <c r="Q18" s="57"/>
      <c r="R18" s="57"/>
      <c r="S18" s="57"/>
      <c r="T18" s="57"/>
      <c r="U18" s="57"/>
      <c r="V18" s="57"/>
      <c r="W18" s="58"/>
    </row>
    <row r="19" spans="1:23">
      <c r="A19" s="44"/>
      <c r="B19" s="47"/>
      <c r="C19" s="53"/>
      <c r="D19" s="53"/>
      <c r="E19" s="54"/>
      <c r="G19" s="44"/>
      <c r="H19" s="47"/>
      <c r="I19" s="53"/>
      <c r="J19" s="53"/>
      <c r="K19" s="54"/>
      <c r="M19" s="43"/>
      <c r="N19" s="47"/>
      <c r="O19" s="59"/>
      <c r="P19" s="59"/>
      <c r="Q19" s="59"/>
      <c r="R19" s="59"/>
      <c r="S19" s="59"/>
      <c r="T19" s="59"/>
      <c r="U19" s="59"/>
      <c r="V19" s="59"/>
      <c r="W19" s="60"/>
    </row>
    <row r="20" spans="1:23">
      <c r="A20" s="45"/>
      <c r="B20" s="48"/>
      <c r="C20" s="55">
        <f>SUM(C17:C19)</f>
        <v>0</v>
      </c>
      <c r="D20" s="56">
        <f>SUM(D17:D19)</f>
        <v>0</v>
      </c>
      <c r="E20" s="56">
        <f>SUM(E17:E19)</f>
        <v>0</v>
      </c>
      <c r="G20" s="45"/>
      <c r="H20" s="48"/>
      <c r="I20" s="55">
        <f>SUM(I17:I19)</f>
        <v>0</v>
      </c>
      <c r="J20" s="56">
        <f>SUM(J17:J19)</f>
        <v>0</v>
      </c>
      <c r="K20" s="56">
        <f>SUM(K17:K19)</f>
        <v>0</v>
      </c>
      <c r="M20" s="43"/>
      <c r="N20" s="47"/>
      <c r="O20" s="59"/>
      <c r="P20" s="59"/>
      <c r="Q20" s="59"/>
      <c r="R20" s="59"/>
      <c r="S20" s="59"/>
      <c r="T20" s="59"/>
      <c r="U20" s="59"/>
      <c r="V20" s="59"/>
      <c r="W20" s="60"/>
    </row>
    <row r="21" spans="1:23">
      <c r="M21" s="43"/>
      <c r="N21" s="47"/>
      <c r="O21" s="59"/>
      <c r="P21" s="59"/>
      <c r="Q21" s="59"/>
      <c r="R21" s="59"/>
      <c r="S21" s="59"/>
      <c r="T21" s="59"/>
      <c r="U21" s="59"/>
      <c r="V21" s="59"/>
      <c r="W21" s="60"/>
    </row>
    <row r="22" spans="1:23">
      <c r="A22" s="184" t="s">
        <v>63</v>
      </c>
      <c r="B22" s="185"/>
      <c r="C22" s="11" t="s">
        <v>35</v>
      </c>
      <c r="D22" s="11" t="s">
        <v>34</v>
      </c>
      <c r="E22" s="11" t="s">
        <v>34</v>
      </c>
      <c r="G22" s="184" t="s">
        <v>64</v>
      </c>
      <c r="H22" s="185"/>
      <c r="I22" s="11" t="s">
        <v>34</v>
      </c>
      <c r="J22" s="11" t="s">
        <v>35</v>
      </c>
      <c r="K22" s="11" t="s">
        <v>35</v>
      </c>
      <c r="M22" s="43"/>
      <c r="N22" s="47"/>
      <c r="O22" s="59"/>
      <c r="P22" s="59"/>
      <c r="Q22" s="59"/>
      <c r="R22" s="59"/>
      <c r="S22" s="59"/>
      <c r="T22" s="59"/>
      <c r="U22" s="59"/>
      <c r="V22" s="59"/>
      <c r="W22" s="60"/>
    </row>
    <row r="23" spans="1:23">
      <c r="A23" s="186" t="s">
        <v>39</v>
      </c>
      <c r="B23" s="188" t="s">
        <v>40</v>
      </c>
      <c r="C23" s="25" t="s">
        <v>41</v>
      </c>
      <c r="D23" s="25" t="s">
        <v>42</v>
      </c>
      <c r="E23" s="26" t="s">
        <v>43</v>
      </c>
      <c r="G23" s="190" t="s">
        <v>39</v>
      </c>
      <c r="H23" s="188" t="s">
        <v>44</v>
      </c>
      <c r="I23" s="24" t="s">
        <v>41</v>
      </c>
      <c r="J23" s="25" t="s">
        <v>42</v>
      </c>
      <c r="K23" s="26" t="s">
        <v>43</v>
      </c>
      <c r="M23" s="43"/>
      <c r="N23" s="47"/>
      <c r="O23" s="59"/>
      <c r="P23" s="59"/>
      <c r="Q23" s="59"/>
      <c r="R23" s="59"/>
      <c r="S23" s="59"/>
      <c r="T23" s="59"/>
      <c r="U23" s="59"/>
      <c r="V23" s="59"/>
      <c r="W23" s="60"/>
    </row>
    <row r="24" spans="1:23">
      <c r="A24" s="187"/>
      <c r="B24" s="189"/>
      <c r="C24" s="27" t="s">
        <v>51</v>
      </c>
      <c r="D24" s="27" t="s">
        <v>51</v>
      </c>
      <c r="E24" s="29" t="s">
        <v>51</v>
      </c>
      <c r="G24" s="191"/>
      <c r="H24" s="189"/>
      <c r="I24" s="28" t="s">
        <v>51</v>
      </c>
      <c r="J24" s="27" t="s">
        <v>51</v>
      </c>
      <c r="K24" s="29" t="s">
        <v>51</v>
      </c>
      <c r="M24" s="43"/>
      <c r="N24" s="47"/>
      <c r="O24" s="59"/>
      <c r="P24" s="59"/>
      <c r="Q24" s="59"/>
      <c r="R24" s="59"/>
      <c r="S24" s="59"/>
      <c r="T24" s="59"/>
      <c r="U24" s="59"/>
      <c r="V24" s="59"/>
      <c r="W24" s="60"/>
    </row>
    <row r="25" spans="1:23">
      <c r="A25" s="42"/>
      <c r="B25" s="46"/>
      <c r="C25" s="49"/>
      <c r="D25" s="49"/>
      <c r="E25" s="50"/>
      <c r="G25" s="42"/>
      <c r="H25" s="46"/>
      <c r="I25" s="49"/>
      <c r="J25" s="49"/>
      <c r="K25" s="50"/>
      <c r="M25" s="180"/>
      <c r="N25" s="181"/>
      <c r="O25" s="66"/>
      <c r="P25" s="66"/>
      <c r="Q25" s="59"/>
      <c r="R25" s="59"/>
      <c r="S25" s="59"/>
      <c r="T25" s="59"/>
      <c r="U25" s="59"/>
      <c r="V25" s="59"/>
      <c r="W25" s="60"/>
    </row>
    <row r="26" spans="1:23">
      <c r="A26" s="44"/>
      <c r="B26" s="47"/>
      <c r="C26" s="51"/>
      <c r="D26" s="51"/>
      <c r="E26" s="52"/>
      <c r="G26" s="44"/>
      <c r="H26" s="47"/>
      <c r="I26" s="51"/>
      <c r="J26" s="51"/>
      <c r="K26" s="52"/>
      <c r="M26" s="172">
        <v>45838</v>
      </c>
      <c r="N26" s="173" t="s">
        <v>65</v>
      </c>
      <c r="O26" s="174">
        <f>O12-SUM(O18:O24)</f>
        <v>0</v>
      </c>
      <c r="P26" s="175">
        <f>P12-SUM(P18:P24)</f>
        <v>0</v>
      </c>
      <c r="Q26" s="179"/>
      <c r="R26" s="66"/>
      <c r="S26" s="66"/>
      <c r="T26" s="66"/>
      <c r="U26" s="66"/>
      <c r="V26" s="66"/>
      <c r="W26" s="67"/>
    </row>
    <row r="27" spans="1:23">
      <c r="A27" s="44"/>
      <c r="B27" s="47"/>
      <c r="C27" s="53"/>
      <c r="D27" s="53"/>
      <c r="E27" s="54"/>
      <c r="G27" s="44"/>
      <c r="H27" s="47"/>
      <c r="I27" s="53"/>
      <c r="J27" s="53"/>
      <c r="K27" s="54"/>
      <c r="M27" s="182"/>
      <c r="N27" s="46"/>
      <c r="O27" s="183"/>
      <c r="P27" s="183"/>
      <c r="Q27" s="61"/>
      <c r="R27" s="61"/>
      <c r="S27" s="61"/>
      <c r="T27" s="61"/>
      <c r="U27" s="61"/>
      <c r="V27" s="61"/>
      <c r="W27" s="62"/>
    </row>
    <row r="28" spans="1:23">
      <c r="A28" s="45"/>
      <c r="B28" s="48"/>
      <c r="C28" s="55">
        <f>SUM(C25:C27)</f>
        <v>0</v>
      </c>
      <c r="D28" s="56">
        <f>SUM(D25:D27)</f>
        <v>0</v>
      </c>
      <c r="E28" s="56">
        <f>SUM(E25:E27)</f>
        <v>0</v>
      </c>
      <c r="G28" s="45"/>
      <c r="H28" s="48"/>
      <c r="I28" s="55">
        <f>SUM(I25:I27)</f>
        <v>0</v>
      </c>
      <c r="J28" s="56">
        <f>SUM(J25:J27)</f>
        <v>0</v>
      </c>
      <c r="K28" s="56">
        <f>SUM(K25:K27)</f>
        <v>0</v>
      </c>
      <c r="M28" s="45"/>
      <c r="N28" s="48"/>
      <c r="O28" s="63">
        <f>SUM(O18:O26)</f>
        <v>0</v>
      </c>
      <c r="P28" s="64">
        <f>SUM(P18:P26)</f>
        <v>0</v>
      </c>
      <c r="Q28" s="64">
        <f>SUM(Q18:Q26)</f>
        <v>0</v>
      </c>
      <c r="R28" s="64">
        <f>SUM(R18:R26)</f>
        <v>0</v>
      </c>
      <c r="S28" s="64">
        <f>SUM(S18:S26)</f>
        <v>0</v>
      </c>
      <c r="T28" s="64">
        <f>SUM(T18:T26)</f>
        <v>0</v>
      </c>
      <c r="U28" s="64">
        <f>SUM(U18:U26)</f>
        <v>0</v>
      </c>
      <c r="V28" s="64">
        <f>SUM(V18:V26)</f>
        <v>0</v>
      </c>
      <c r="W28" s="64">
        <f>SUM(W18:W26)</f>
        <v>0</v>
      </c>
    </row>
    <row r="30" spans="1:23">
      <c r="A30" s="11"/>
      <c r="B30" s="11"/>
      <c r="C30" s="11"/>
      <c r="G30" s="21"/>
      <c r="H30" s="21"/>
      <c r="I30" s="21"/>
      <c r="J30" s="21"/>
    </row>
    <row r="31" spans="1:23">
      <c r="A31" s="23"/>
      <c r="B31" s="12"/>
      <c r="C31" s="11"/>
      <c r="G31" s="21"/>
      <c r="H31" s="11"/>
      <c r="I31" s="11"/>
      <c r="J31" s="11"/>
      <c r="O31" s="12"/>
      <c r="P31" s="12"/>
      <c r="Q31" s="12"/>
      <c r="R31" s="12"/>
      <c r="S31" s="12"/>
      <c r="T31" s="12"/>
      <c r="U31" s="12"/>
      <c r="V31" s="12"/>
      <c r="W31" s="12"/>
    </row>
    <row r="32" spans="1:23">
      <c r="A32" s="11"/>
      <c r="B32" s="11"/>
      <c r="C32" s="11"/>
      <c r="G32" s="2"/>
    </row>
    <row r="33" spans="1:10">
      <c r="A33" s="11"/>
      <c r="B33" s="12"/>
      <c r="C33" s="11"/>
      <c r="G33" s="2"/>
    </row>
    <row r="34" spans="1:10">
      <c r="G34" s="2"/>
      <c r="H34" s="2"/>
      <c r="I34" s="2"/>
      <c r="J34" s="2"/>
    </row>
    <row r="35" spans="1:10">
      <c r="A35" s="11"/>
      <c r="B35" s="11"/>
      <c r="C35" s="11"/>
      <c r="G35" s="2"/>
    </row>
    <row r="36" spans="1:10">
      <c r="A36" s="23"/>
      <c r="B36" s="12"/>
      <c r="C36" s="11"/>
      <c r="G36" s="2"/>
    </row>
    <row r="37" spans="1:10">
      <c r="A37" s="23"/>
      <c r="B37" s="12"/>
      <c r="C37" s="11"/>
      <c r="G37" s="2"/>
    </row>
    <row r="38" spans="1:10">
      <c r="A38" s="23"/>
      <c r="B38" s="12"/>
      <c r="C38" s="11"/>
    </row>
    <row r="39" spans="1:10">
      <c r="A39" s="11"/>
      <c r="B39" s="12"/>
      <c r="C39" s="11"/>
    </row>
    <row r="40" spans="1:10">
      <c r="A40" s="11"/>
      <c r="B40" s="11"/>
      <c r="C40" s="11"/>
      <c r="F40" s="22"/>
    </row>
    <row r="41" spans="1:10">
      <c r="A41" s="11"/>
      <c r="B41" s="12"/>
      <c r="C41" s="11"/>
      <c r="F41" s="22"/>
    </row>
    <row r="42" spans="1:10">
      <c r="F42" s="22"/>
    </row>
    <row r="43" spans="1:10">
      <c r="F43" s="22"/>
    </row>
    <row r="44" spans="1:10">
      <c r="F44" s="22"/>
    </row>
    <row r="45" spans="1:10">
      <c r="F45" s="22"/>
    </row>
    <row r="46" spans="1:10">
      <c r="F46" s="22"/>
    </row>
    <row r="47" spans="1:10">
      <c r="F47" s="22"/>
    </row>
  </sheetData>
  <mergeCells count="20">
    <mergeCell ref="A5:A6"/>
    <mergeCell ref="B5:B6"/>
    <mergeCell ref="G5:G6"/>
    <mergeCell ref="H5:H6"/>
    <mergeCell ref="M4:N4"/>
    <mergeCell ref="M16:N16"/>
    <mergeCell ref="A22:B22"/>
    <mergeCell ref="G22:H22"/>
    <mergeCell ref="A23:A24"/>
    <mergeCell ref="B23:B24"/>
    <mergeCell ref="G23:G24"/>
    <mergeCell ref="H23:H24"/>
    <mergeCell ref="A14:B14"/>
    <mergeCell ref="G14:H14"/>
    <mergeCell ref="A15:A16"/>
    <mergeCell ref="B15:B16"/>
    <mergeCell ref="G15:G16"/>
    <mergeCell ref="H15:H16"/>
    <mergeCell ref="A4:B4"/>
    <mergeCell ref="G4:H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B437F-B71C-4CC4-B6BA-6F15F05B5C86}">
  <dimension ref="B2:K120"/>
  <sheetViews>
    <sheetView workbookViewId="0">
      <selection activeCell="O10" sqref="O10"/>
    </sheetView>
  </sheetViews>
  <sheetFormatPr defaultRowHeight="15"/>
  <cols>
    <col min="2" max="2" width="11.140625" customWidth="1"/>
    <col min="3" max="3" width="29.140625" bestFit="1" customWidth="1"/>
    <col min="4" max="5" width="12.28515625" bestFit="1" customWidth="1"/>
    <col min="6" max="6" width="12.5703125" bestFit="1" customWidth="1"/>
    <col min="9" max="9" width="19.7109375" bestFit="1" customWidth="1"/>
    <col min="10" max="11" width="12.5703125" bestFit="1" customWidth="1"/>
  </cols>
  <sheetData>
    <row r="2" spans="2:11">
      <c r="B2" s="2" t="s">
        <v>66</v>
      </c>
      <c r="C2" s="1"/>
      <c r="D2" s="1"/>
      <c r="E2" s="12"/>
      <c r="F2" s="12"/>
      <c r="G2" s="1"/>
      <c r="H2" s="1"/>
      <c r="I2" s="2" t="s">
        <v>67</v>
      </c>
      <c r="J2" s="1"/>
      <c r="K2" s="1"/>
    </row>
    <row r="3" spans="2:11">
      <c r="B3" s="11"/>
      <c r="C3" s="1"/>
      <c r="D3" s="12"/>
      <c r="E3" s="12"/>
      <c r="F3" s="12"/>
      <c r="G3" s="1"/>
      <c r="H3" s="1"/>
      <c r="I3" s="2" t="s">
        <v>68</v>
      </c>
      <c r="J3" s="1"/>
      <c r="K3" s="1"/>
    </row>
    <row r="4" spans="2:11">
      <c r="B4" s="70" t="s">
        <v>69</v>
      </c>
      <c r="C4" s="196" t="s">
        <v>70</v>
      </c>
      <c r="D4" s="195"/>
      <c r="E4" s="12"/>
      <c r="F4" s="12"/>
      <c r="G4" s="1"/>
      <c r="H4" s="1"/>
      <c r="I4" s="68"/>
      <c r="J4" s="69" t="s">
        <v>71</v>
      </c>
      <c r="K4" s="70" t="s">
        <v>72</v>
      </c>
    </row>
    <row r="5" spans="2:11">
      <c r="B5" s="192" t="s">
        <v>39</v>
      </c>
      <c r="C5" s="193" t="s">
        <v>45</v>
      </c>
      <c r="D5" s="94" t="s">
        <v>73</v>
      </c>
      <c r="E5" s="94" t="s">
        <v>74</v>
      </c>
      <c r="F5" s="35" t="s">
        <v>75</v>
      </c>
      <c r="G5" s="1"/>
      <c r="H5" s="1"/>
      <c r="I5" s="68" t="s">
        <v>47</v>
      </c>
      <c r="J5" s="71"/>
      <c r="K5" s="72"/>
    </row>
    <row r="6" spans="2:11">
      <c r="B6" s="187"/>
      <c r="C6" s="189"/>
      <c r="D6" s="95" t="s">
        <v>51</v>
      </c>
      <c r="E6" s="95" t="s">
        <v>51</v>
      </c>
      <c r="F6" s="93" t="s">
        <v>51</v>
      </c>
      <c r="G6" s="1"/>
      <c r="H6" s="1"/>
      <c r="I6" s="73" t="s">
        <v>46</v>
      </c>
      <c r="J6" s="74"/>
      <c r="K6" s="75"/>
    </row>
    <row r="7" spans="2:11">
      <c r="B7" s="42"/>
      <c r="C7" s="14"/>
      <c r="D7" s="15"/>
      <c r="E7" s="15"/>
      <c r="F7" s="32"/>
      <c r="G7" s="1"/>
      <c r="H7" s="1"/>
      <c r="I7" s="73" t="str">
        <f>C4</f>
        <v>David and Sons</v>
      </c>
      <c r="J7" s="74"/>
      <c r="K7" s="75"/>
    </row>
    <row r="8" spans="2:11">
      <c r="B8" s="91"/>
      <c r="C8" s="18"/>
      <c r="D8" s="19"/>
      <c r="E8" s="19"/>
      <c r="F8" s="34"/>
      <c r="G8" s="1"/>
      <c r="H8" s="1"/>
      <c r="I8" s="73" t="str">
        <f>C12</f>
        <v>Rainbow Plc</v>
      </c>
      <c r="J8" s="74"/>
      <c r="K8" s="75"/>
    </row>
    <row r="9" spans="2:11">
      <c r="B9" s="91"/>
      <c r="C9" s="18"/>
      <c r="D9" s="19"/>
      <c r="E9" s="19"/>
      <c r="F9" s="34"/>
      <c r="G9" s="1"/>
      <c r="H9" s="1"/>
      <c r="I9" s="73" t="str">
        <f>C23</f>
        <v>Ladies Ltd</v>
      </c>
      <c r="J9" s="74"/>
      <c r="K9" s="75"/>
    </row>
    <row r="10" spans="2:11">
      <c r="B10" s="92"/>
      <c r="C10" s="20"/>
      <c r="D10" s="17"/>
      <c r="E10" s="17"/>
      <c r="F10" s="93"/>
      <c r="G10" s="1"/>
      <c r="H10" s="1"/>
      <c r="I10" s="73" t="str">
        <f>C31</f>
        <v>DNA Partners</v>
      </c>
      <c r="J10" s="74"/>
      <c r="K10" s="75"/>
    </row>
    <row r="11" spans="2:11">
      <c r="B11" s="11"/>
      <c r="C11" s="1"/>
      <c r="D11" s="12"/>
      <c r="E11" s="12"/>
      <c r="F11" s="12"/>
      <c r="G11" s="1"/>
      <c r="H11" s="1"/>
      <c r="I11" s="73" t="str">
        <f>C41</f>
        <v>VAT</v>
      </c>
      <c r="J11" s="74"/>
      <c r="K11" s="75"/>
    </row>
    <row r="12" spans="2:11">
      <c r="B12" s="98" t="s">
        <v>69</v>
      </c>
      <c r="C12" s="201" t="s">
        <v>76</v>
      </c>
      <c r="D12" s="185"/>
      <c r="E12" s="96"/>
      <c r="F12" s="96"/>
      <c r="G12" s="1"/>
      <c r="H12" s="1"/>
      <c r="I12" s="73" t="str">
        <f>C53</f>
        <v>Sales</v>
      </c>
      <c r="J12" s="74"/>
      <c r="K12" s="75"/>
    </row>
    <row r="13" spans="2:11">
      <c r="B13" s="202" t="s">
        <v>39</v>
      </c>
      <c r="C13" s="203" t="s">
        <v>45</v>
      </c>
      <c r="D13" s="97" t="s">
        <v>73</v>
      </c>
      <c r="E13" s="94" t="s">
        <v>74</v>
      </c>
      <c r="F13" s="35" t="s">
        <v>75</v>
      </c>
      <c r="G13" s="1"/>
      <c r="H13" s="1"/>
      <c r="I13" s="73" t="str">
        <f>C59</f>
        <v>Sales Returns</v>
      </c>
      <c r="J13" s="74"/>
      <c r="K13" s="75"/>
    </row>
    <row r="14" spans="2:11">
      <c r="B14" s="202"/>
      <c r="C14" s="203"/>
      <c r="D14" s="101" t="s">
        <v>51</v>
      </c>
      <c r="E14" s="101" t="s">
        <v>51</v>
      </c>
      <c r="F14" s="102" t="s">
        <v>51</v>
      </c>
      <c r="G14" s="1"/>
      <c r="H14" s="1"/>
      <c r="I14" s="73" t="str">
        <f>C64</f>
        <v>Discount Allowed</v>
      </c>
      <c r="J14" s="74"/>
      <c r="K14" s="75"/>
    </row>
    <row r="15" spans="2:11">
      <c r="B15" s="99"/>
      <c r="C15" s="100"/>
      <c r="D15" s="90"/>
      <c r="E15" s="90"/>
      <c r="F15" s="31"/>
      <c r="G15" s="1"/>
      <c r="H15" s="1"/>
      <c r="I15" s="73" t="str">
        <f>C69</f>
        <v>Purchases</v>
      </c>
      <c r="J15" s="74"/>
      <c r="K15" s="75"/>
    </row>
    <row r="16" spans="2:11">
      <c r="B16" s="43"/>
      <c r="C16" s="16"/>
      <c r="D16" s="13"/>
      <c r="E16" s="13"/>
      <c r="F16" s="33"/>
      <c r="G16" s="1"/>
      <c r="H16" s="1"/>
      <c r="I16" s="73" t="str">
        <f>C74</f>
        <v>Purchase Returns</v>
      </c>
      <c r="J16" s="74"/>
      <c r="K16" s="75"/>
    </row>
    <row r="17" spans="2:11">
      <c r="B17" s="43"/>
      <c r="C17" s="16"/>
      <c r="D17" s="13"/>
      <c r="E17" s="13"/>
      <c r="F17" s="33"/>
      <c r="G17" s="1"/>
      <c r="H17" s="1"/>
      <c r="I17" s="73" t="str">
        <f>C79</f>
        <v>Discount Received</v>
      </c>
      <c r="J17" s="74"/>
      <c r="K17" s="75"/>
    </row>
    <row r="18" spans="2:11">
      <c r="B18" s="91"/>
      <c r="C18" s="18"/>
      <c r="D18" s="19"/>
      <c r="E18" s="19"/>
      <c r="F18" s="34"/>
      <c r="G18" s="1"/>
      <c r="H18" s="1"/>
      <c r="I18" s="73" t="str">
        <f>C84</f>
        <v>Capital</v>
      </c>
      <c r="J18" s="74"/>
      <c r="K18" s="75"/>
    </row>
    <row r="19" spans="2:11">
      <c r="B19" s="92"/>
      <c r="C19" s="20"/>
      <c r="D19" s="17"/>
      <c r="E19" s="17"/>
      <c r="F19" s="93"/>
      <c r="G19" s="1"/>
      <c r="H19" s="1"/>
      <c r="I19" s="73" t="str">
        <f>C89</f>
        <v>Office Equipment</v>
      </c>
      <c r="J19" s="74"/>
      <c r="K19" s="75"/>
    </row>
    <row r="20" spans="2:11">
      <c r="B20" s="11"/>
      <c r="C20" s="1"/>
      <c r="D20" s="12"/>
      <c r="E20" s="12"/>
      <c r="F20" s="12"/>
      <c r="G20" s="1"/>
      <c r="H20" s="1"/>
      <c r="I20" s="73" t="str">
        <f>C94</f>
        <v>Phone</v>
      </c>
      <c r="J20" s="74"/>
      <c r="K20" s="75"/>
    </row>
    <row r="21" spans="2:11">
      <c r="B21" s="2" t="s">
        <v>77</v>
      </c>
      <c r="C21" s="1"/>
      <c r="D21" s="12"/>
      <c r="E21" s="12"/>
      <c r="F21" s="12"/>
      <c r="G21" s="1"/>
      <c r="H21" s="1"/>
      <c r="I21" s="73" t="str">
        <f>C99</f>
        <v>Rent and Rates</v>
      </c>
      <c r="J21" s="74"/>
      <c r="K21" s="75"/>
    </row>
    <row r="22" spans="2:11">
      <c r="B22" s="11"/>
      <c r="C22" s="1"/>
      <c r="D22" s="12"/>
      <c r="E22" s="12"/>
      <c r="F22" s="12"/>
      <c r="G22" s="1"/>
      <c r="H22" s="1"/>
      <c r="I22" s="73" t="str">
        <f>C104</f>
        <v>Motor Vehicle</v>
      </c>
      <c r="J22" s="74"/>
      <c r="K22" s="75"/>
    </row>
    <row r="23" spans="2:11">
      <c r="B23" s="98" t="s">
        <v>69</v>
      </c>
      <c r="C23" s="201" t="s">
        <v>78</v>
      </c>
      <c r="D23" s="185"/>
      <c r="E23" s="12"/>
      <c r="F23" s="12"/>
      <c r="G23" s="1"/>
      <c r="H23" s="1"/>
      <c r="I23" s="76" t="str">
        <f>C109</f>
        <v>Postage</v>
      </c>
      <c r="J23" s="77"/>
      <c r="K23" s="78"/>
    </row>
    <row r="24" spans="2:11">
      <c r="B24" s="202" t="s">
        <v>39</v>
      </c>
      <c r="C24" s="203" t="s">
        <v>45</v>
      </c>
      <c r="D24" s="97" t="s">
        <v>73</v>
      </c>
      <c r="E24" s="94" t="s">
        <v>74</v>
      </c>
      <c r="F24" s="35" t="s">
        <v>75</v>
      </c>
      <c r="G24" s="1"/>
      <c r="H24" s="1"/>
      <c r="I24" s="2"/>
      <c r="J24" s="12"/>
      <c r="K24" s="12"/>
    </row>
    <row r="25" spans="2:11">
      <c r="B25" s="198"/>
      <c r="C25" s="200"/>
      <c r="D25" s="95" t="s">
        <v>51</v>
      </c>
      <c r="E25" s="95" t="s">
        <v>51</v>
      </c>
      <c r="F25" s="93" t="s">
        <v>51</v>
      </c>
      <c r="G25" s="1"/>
      <c r="H25" s="1"/>
      <c r="I25" s="2"/>
      <c r="J25" s="79">
        <f>SUM(J5:J23)</f>
        <v>0</v>
      </c>
      <c r="K25" s="80">
        <f>SUM(K5:K23)</f>
        <v>0</v>
      </c>
    </row>
    <row r="26" spans="2:11">
      <c r="B26" s="42"/>
      <c r="C26" s="14"/>
      <c r="D26" s="15"/>
      <c r="E26" s="15"/>
      <c r="F26" s="32"/>
      <c r="G26" s="1"/>
      <c r="H26" s="1"/>
      <c r="I26" s="1"/>
      <c r="J26" s="81"/>
      <c r="K26" s="1"/>
    </row>
    <row r="27" spans="2:11">
      <c r="B27" s="91"/>
      <c r="C27" s="18"/>
      <c r="D27" s="19"/>
      <c r="E27" s="19"/>
      <c r="F27" s="34"/>
      <c r="G27" s="1"/>
      <c r="H27" s="1"/>
      <c r="I27" s="82" t="s">
        <v>79</v>
      </c>
      <c r="J27" s="12">
        <f>J25-K25</f>
        <v>0</v>
      </c>
      <c r="K27" s="1"/>
    </row>
    <row r="28" spans="2:11">
      <c r="B28" s="91"/>
      <c r="C28" s="18"/>
      <c r="D28" s="19"/>
      <c r="E28" s="19"/>
      <c r="F28" s="34"/>
      <c r="G28" s="1"/>
      <c r="H28" s="1"/>
    </row>
    <row r="29" spans="2:11">
      <c r="B29" s="92"/>
      <c r="C29" s="20"/>
      <c r="D29" s="17"/>
      <c r="E29" s="17"/>
      <c r="F29" s="93"/>
      <c r="G29" s="1"/>
      <c r="H29" s="1"/>
      <c r="I29" s="1"/>
      <c r="J29" s="1"/>
      <c r="K29" s="1"/>
    </row>
    <row r="30" spans="2:11">
      <c r="B30" s="11"/>
      <c r="C30" s="1"/>
      <c r="D30" s="12"/>
      <c r="E30" s="12"/>
      <c r="F30" s="12"/>
      <c r="G30" s="1"/>
      <c r="H30" s="1"/>
      <c r="I30" s="1"/>
      <c r="J30" s="1"/>
      <c r="K30" s="1"/>
    </row>
    <row r="31" spans="2:11">
      <c r="B31" s="98" t="s">
        <v>69</v>
      </c>
      <c r="C31" s="204" t="s">
        <v>80</v>
      </c>
      <c r="D31" s="205"/>
      <c r="E31" s="12"/>
      <c r="F31" s="12"/>
      <c r="G31" s="1"/>
      <c r="H31" s="1"/>
      <c r="I31" s="1"/>
      <c r="J31" s="1"/>
      <c r="K31" s="1"/>
    </row>
    <row r="32" spans="2:11">
      <c r="B32" s="186" t="s">
        <v>39</v>
      </c>
      <c r="C32" s="188" t="s">
        <v>45</v>
      </c>
      <c r="D32" s="97" t="s">
        <v>73</v>
      </c>
      <c r="E32" s="94" t="s">
        <v>74</v>
      </c>
      <c r="F32" s="35" t="s">
        <v>75</v>
      </c>
      <c r="G32" s="1"/>
      <c r="H32" s="1"/>
      <c r="I32" s="1"/>
      <c r="J32" s="1"/>
      <c r="K32" s="1"/>
    </row>
    <row r="33" spans="2:11">
      <c r="B33" s="206"/>
      <c r="C33" s="207"/>
      <c r="D33" s="101" t="s">
        <v>51</v>
      </c>
      <c r="E33" s="101" t="s">
        <v>51</v>
      </c>
      <c r="F33" s="102" t="s">
        <v>51</v>
      </c>
      <c r="G33" s="1"/>
      <c r="H33" s="1"/>
      <c r="I33" s="1"/>
      <c r="J33" s="1"/>
      <c r="K33" s="1"/>
    </row>
    <row r="34" spans="2:11">
      <c r="B34" s="99"/>
      <c r="C34" s="100"/>
      <c r="D34" s="90"/>
      <c r="E34" s="90"/>
      <c r="F34" s="31"/>
      <c r="G34" s="1"/>
      <c r="H34" s="1"/>
      <c r="I34" s="1"/>
      <c r="J34" s="1"/>
      <c r="K34" s="1"/>
    </row>
    <row r="35" spans="2:11">
      <c r="B35" s="91"/>
      <c r="C35" s="18"/>
      <c r="D35" s="19"/>
      <c r="E35" s="19"/>
      <c r="F35" s="34"/>
      <c r="G35" s="1"/>
      <c r="H35" s="1"/>
      <c r="I35" s="1"/>
      <c r="J35" s="1"/>
      <c r="K35" s="1"/>
    </row>
    <row r="36" spans="2:11">
      <c r="B36" s="91"/>
      <c r="C36" s="18"/>
      <c r="D36" s="19"/>
      <c r="E36" s="19"/>
      <c r="F36" s="34"/>
      <c r="G36" s="1"/>
      <c r="H36" s="1"/>
      <c r="I36" s="1"/>
      <c r="J36" s="1"/>
      <c r="K36" s="1"/>
    </row>
    <row r="37" spans="2:11">
      <c r="B37" s="92"/>
      <c r="C37" s="20"/>
      <c r="D37" s="17"/>
      <c r="E37" s="17"/>
      <c r="F37" s="93"/>
      <c r="G37" s="1"/>
      <c r="H37" s="1"/>
      <c r="I37" s="1"/>
      <c r="J37" s="1"/>
      <c r="K37" s="1"/>
    </row>
    <row r="38" spans="2:11">
      <c r="B38" s="11"/>
      <c r="C38" s="1"/>
      <c r="D38" s="12"/>
      <c r="E38" s="12"/>
      <c r="F38" s="12"/>
      <c r="G38" s="1"/>
      <c r="H38" s="1"/>
      <c r="I38" s="1"/>
      <c r="J38" s="1"/>
      <c r="K38" s="1"/>
    </row>
    <row r="39" spans="2:11">
      <c r="B39" s="2" t="s">
        <v>81</v>
      </c>
      <c r="C39" s="1"/>
      <c r="D39" s="12"/>
      <c r="E39" s="12"/>
      <c r="F39" s="12"/>
      <c r="G39" s="1"/>
      <c r="H39" s="1"/>
      <c r="I39" s="1"/>
      <c r="J39" s="1"/>
      <c r="K39" s="1"/>
    </row>
    <row r="40" spans="2:11">
      <c r="B40" s="11"/>
      <c r="C40" s="1"/>
      <c r="D40" s="12"/>
      <c r="E40" s="12"/>
      <c r="F40" s="12"/>
      <c r="G40" s="1"/>
      <c r="H40" s="1"/>
      <c r="I40" s="1"/>
      <c r="J40" s="1"/>
      <c r="K40" s="1"/>
    </row>
    <row r="41" spans="2:11">
      <c r="B41" s="115" t="s">
        <v>69</v>
      </c>
      <c r="C41" s="114" t="s">
        <v>42</v>
      </c>
      <c r="D41" s="83"/>
      <c r="E41" s="83"/>
      <c r="F41" s="89"/>
      <c r="G41" s="1"/>
      <c r="H41" s="1"/>
      <c r="I41" s="1"/>
      <c r="J41" s="1"/>
      <c r="K41" s="1"/>
    </row>
    <row r="42" spans="2:11">
      <c r="B42" s="186" t="s">
        <v>39</v>
      </c>
      <c r="C42" s="188" t="s">
        <v>45</v>
      </c>
      <c r="D42" s="109" t="s">
        <v>73</v>
      </c>
      <c r="E42" s="109" t="s">
        <v>74</v>
      </c>
      <c r="F42" s="110" t="s">
        <v>75</v>
      </c>
      <c r="G42" s="1"/>
      <c r="H42" s="1"/>
      <c r="I42" s="1"/>
      <c r="J42" s="1"/>
      <c r="K42" s="1"/>
    </row>
    <row r="43" spans="2:11">
      <c r="B43" s="187"/>
      <c r="C43" s="189"/>
      <c r="D43" s="111" t="s">
        <v>51</v>
      </c>
      <c r="E43" s="111" t="s">
        <v>51</v>
      </c>
      <c r="F43" s="108" t="s">
        <v>51</v>
      </c>
      <c r="G43" s="1"/>
      <c r="H43" s="1"/>
      <c r="I43" s="1"/>
      <c r="J43" s="1"/>
      <c r="K43" s="1"/>
    </row>
    <row r="44" spans="2:11">
      <c r="B44" s="112"/>
      <c r="C44" s="86"/>
      <c r="D44" s="87"/>
      <c r="E44" s="87"/>
      <c r="F44" s="113"/>
      <c r="G44" s="1"/>
      <c r="H44" s="1"/>
      <c r="I44" s="1"/>
      <c r="J44" s="1"/>
      <c r="K44" s="1"/>
    </row>
    <row r="45" spans="2:11">
      <c r="B45" s="104"/>
      <c r="C45" s="85"/>
      <c r="D45" s="84"/>
      <c r="E45" s="84"/>
      <c r="F45" s="103"/>
      <c r="G45" s="1"/>
      <c r="H45" s="1"/>
      <c r="I45" s="1"/>
      <c r="J45" s="1"/>
      <c r="K45" s="1"/>
    </row>
    <row r="46" spans="2:11">
      <c r="B46" s="104"/>
      <c r="C46" s="85"/>
      <c r="D46" s="84"/>
      <c r="E46" s="84"/>
      <c r="F46" s="103"/>
      <c r="G46" s="1"/>
      <c r="H46" s="1"/>
      <c r="I46" s="1"/>
      <c r="J46" s="1"/>
      <c r="K46" s="1"/>
    </row>
    <row r="47" spans="2:11">
      <c r="B47" s="104"/>
      <c r="C47" s="85"/>
      <c r="D47" s="84"/>
      <c r="E47" s="84"/>
      <c r="F47" s="103"/>
      <c r="G47" s="1"/>
      <c r="H47" s="1"/>
      <c r="I47" s="1"/>
      <c r="J47" s="1"/>
      <c r="K47" s="1"/>
    </row>
    <row r="48" spans="2:11">
      <c r="B48" s="104"/>
      <c r="C48" s="85"/>
      <c r="D48" s="84"/>
      <c r="E48" s="84"/>
      <c r="F48" s="103"/>
      <c r="G48" s="1"/>
      <c r="H48" s="1"/>
      <c r="I48" s="1"/>
      <c r="J48" s="1"/>
      <c r="K48" s="1"/>
    </row>
    <row r="49" spans="2:11">
      <c r="B49" s="104"/>
      <c r="C49" s="85"/>
      <c r="D49" s="84"/>
      <c r="E49" s="84"/>
      <c r="F49" s="103"/>
      <c r="G49" s="1"/>
      <c r="H49" s="1"/>
      <c r="I49" s="1"/>
      <c r="J49" s="1"/>
      <c r="K49" s="1"/>
    </row>
    <row r="50" spans="2:11">
      <c r="B50" s="104"/>
      <c r="C50" s="85"/>
      <c r="D50" s="84"/>
      <c r="E50" s="84"/>
      <c r="F50" s="103"/>
      <c r="G50" s="1"/>
      <c r="H50" s="1"/>
      <c r="I50" s="1"/>
      <c r="J50" s="1"/>
      <c r="K50" s="1"/>
    </row>
    <row r="51" spans="2:11">
      <c r="B51" s="105"/>
      <c r="C51" s="106"/>
      <c r="D51" s="107"/>
      <c r="E51" s="107"/>
      <c r="F51" s="108"/>
      <c r="G51" s="1"/>
      <c r="H51" s="1"/>
      <c r="I51" s="1"/>
      <c r="J51" s="1"/>
      <c r="K51" s="1"/>
    </row>
    <row r="52" spans="2:11">
      <c r="B52" s="11"/>
      <c r="C52" s="1"/>
      <c r="D52" s="12"/>
      <c r="E52" s="12"/>
      <c r="F52" s="12"/>
      <c r="G52" s="1"/>
      <c r="H52" s="1"/>
      <c r="I52" s="1"/>
      <c r="J52" s="1"/>
      <c r="K52" s="1"/>
    </row>
    <row r="53" spans="2:11">
      <c r="B53" s="123" t="s">
        <v>69</v>
      </c>
      <c r="C53" s="122" t="s">
        <v>82</v>
      </c>
      <c r="D53" s="83"/>
      <c r="E53" s="83"/>
      <c r="F53" s="89"/>
      <c r="G53" s="1"/>
      <c r="H53" s="1"/>
      <c r="I53" s="1"/>
      <c r="J53" s="1"/>
      <c r="K53" s="1"/>
    </row>
    <row r="54" spans="2:11">
      <c r="B54" s="197" t="s">
        <v>39</v>
      </c>
      <c r="C54" s="199" t="s">
        <v>45</v>
      </c>
      <c r="D54" s="120" t="s">
        <v>73</v>
      </c>
      <c r="E54" s="109" t="s">
        <v>74</v>
      </c>
      <c r="F54" s="110" t="s">
        <v>75</v>
      </c>
      <c r="G54" s="1"/>
      <c r="H54" s="1"/>
      <c r="I54" s="1"/>
      <c r="J54" s="1"/>
      <c r="K54" s="1"/>
    </row>
    <row r="55" spans="2:11">
      <c r="B55" s="198"/>
      <c r="C55" s="200"/>
      <c r="D55" s="121" t="s">
        <v>51</v>
      </c>
      <c r="E55" s="111" t="s">
        <v>51</v>
      </c>
      <c r="F55" s="108" t="s">
        <v>51</v>
      </c>
      <c r="G55" s="1"/>
      <c r="H55" s="1"/>
      <c r="I55" s="1"/>
      <c r="J55" s="1"/>
      <c r="K55" s="1"/>
    </row>
    <row r="56" spans="2:11">
      <c r="B56" s="112"/>
      <c r="C56" s="86"/>
      <c r="D56" s="87"/>
      <c r="E56" s="87"/>
      <c r="F56" s="113"/>
      <c r="G56" s="1"/>
      <c r="H56" s="1"/>
      <c r="I56" s="1"/>
      <c r="J56" s="1"/>
      <c r="K56" s="1"/>
    </row>
    <row r="57" spans="2:11">
      <c r="B57" s="105"/>
      <c r="C57" s="106"/>
      <c r="D57" s="107"/>
      <c r="E57" s="107"/>
      <c r="F57" s="108"/>
      <c r="G57" s="1"/>
      <c r="H57" s="1"/>
      <c r="I57" s="1"/>
      <c r="J57" s="1"/>
      <c r="K57" s="1"/>
    </row>
    <row r="58" spans="2:11">
      <c r="B58" s="11"/>
      <c r="C58" s="1"/>
      <c r="D58" s="83"/>
      <c r="E58" s="83"/>
      <c r="F58" s="89"/>
      <c r="G58" s="1"/>
      <c r="H58" s="1"/>
      <c r="I58" s="1"/>
      <c r="J58" s="1"/>
      <c r="K58" s="1"/>
    </row>
    <row r="59" spans="2:11">
      <c r="B59" s="124" t="s">
        <v>69</v>
      </c>
      <c r="C59" s="194" t="s">
        <v>83</v>
      </c>
      <c r="D59" s="195"/>
      <c r="E59" s="83"/>
      <c r="F59" s="89"/>
      <c r="G59" s="1"/>
      <c r="H59" s="1"/>
      <c r="I59" s="1"/>
      <c r="J59" s="1"/>
      <c r="K59" s="1"/>
    </row>
    <row r="60" spans="2:11">
      <c r="B60" s="192" t="s">
        <v>39</v>
      </c>
      <c r="C60" s="193" t="s">
        <v>45</v>
      </c>
      <c r="D60" s="109" t="s">
        <v>73</v>
      </c>
      <c r="E60" s="120" t="s">
        <v>74</v>
      </c>
      <c r="F60" s="110" t="s">
        <v>75</v>
      </c>
      <c r="G60" s="1"/>
      <c r="H60" s="1"/>
      <c r="I60" s="1"/>
      <c r="J60" s="1"/>
      <c r="K60" s="1"/>
    </row>
    <row r="61" spans="2:11">
      <c r="B61" s="187"/>
      <c r="C61" s="189"/>
      <c r="D61" s="111" t="s">
        <v>51</v>
      </c>
      <c r="E61" s="121" t="s">
        <v>51</v>
      </c>
      <c r="F61" s="108" t="s">
        <v>51</v>
      </c>
      <c r="G61" s="1"/>
      <c r="H61" s="1"/>
      <c r="I61" s="1"/>
      <c r="J61" s="1"/>
      <c r="K61" s="1"/>
    </row>
    <row r="62" spans="2:11">
      <c r="B62" s="116"/>
      <c r="C62" s="117"/>
      <c r="D62" s="118"/>
      <c r="E62" s="118"/>
      <c r="F62" s="119"/>
      <c r="G62" s="1"/>
      <c r="H62" s="1"/>
      <c r="I62" s="1"/>
      <c r="J62" s="1"/>
      <c r="K62" s="1"/>
    </row>
    <row r="63" spans="2:11">
      <c r="B63" s="88"/>
      <c r="C63" s="1"/>
      <c r="D63" s="83"/>
      <c r="E63" s="83"/>
      <c r="F63" s="89"/>
      <c r="G63" s="1"/>
      <c r="H63" s="1"/>
      <c r="I63" s="1"/>
      <c r="J63" s="1"/>
      <c r="K63" s="1"/>
    </row>
    <row r="64" spans="2:11">
      <c r="B64" s="123" t="s">
        <v>69</v>
      </c>
      <c r="C64" s="196" t="s">
        <v>63</v>
      </c>
      <c r="D64" s="195"/>
      <c r="E64" s="83"/>
      <c r="F64" s="89"/>
      <c r="G64" s="1"/>
      <c r="H64" s="1"/>
      <c r="I64" s="1"/>
      <c r="J64" s="1"/>
      <c r="K64" s="1"/>
    </row>
    <row r="65" spans="2:11">
      <c r="B65" s="192" t="s">
        <v>39</v>
      </c>
      <c r="C65" s="193" t="s">
        <v>45</v>
      </c>
      <c r="D65" s="109" t="s">
        <v>73</v>
      </c>
      <c r="E65" s="120" t="s">
        <v>74</v>
      </c>
      <c r="F65" s="110" t="s">
        <v>75</v>
      </c>
      <c r="G65" s="1"/>
      <c r="H65" s="1"/>
      <c r="I65" s="1"/>
      <c r="J65" s="1"/>
      <c r="K65" s="1"/>
    </row>
    <row r="66" spans="2:11">
      <c r="B66" s="187"/>
      <c r="C66" s="189"/>
      <c r="D66" s="111" t="s">
        <v>51</v>
      </c>
      <c r="E66" s="121" t="s">
        <v>51</v>
      </c>
      <c r="F66" s="108" t="s">
        <v>51</v>
      </c>
      <c r="G66" s="1"/>
      <c r="H66" s="1"/>
      <c r="I66" s="1"/>
      <c r="J66" s="1"/>
      <c r="K66" s="1"/>
    </row>
    <row r="67" spans="2:11">
      <c r="B67" s="116"/>
      <c r="C67" s="117"/>
      <c r="D67" s="118"/>
      <c r="E67" s="118"/>
      <c r="F67" s="119"/>
      <c r="G67" s="1"/>
      <c r="H67" s="1"/>
      <c r="I67" s="1"/>
      <c r="J67" s="1"/>
      <c r="K67" s="1"/>
    </row>
    <row r="68" spans="2:11">
      <c r="B68" s="11"/>
      <c r="C68" s="1"/>
      <c r="D68" s="12"/>
      <c r="E68" s="12"/>
      <c r="F68" s="12"/>
      <c r="G68" s="1"/>
      <c r="H68" s="1"/>
      <c r="I68" s="1"/>
      <c r="J68" s="1"/>
      <c r="K68" s="1"/>
    </row>
    <row r="69" spans="2:11">
      <c r="B69" s="124" t="s">
        <v>69</v>
      </c>
      <c r="C69" s="123" t="s">
        <v>84</v>
      </c>
      <c r="D69" s="83"/>
      <c r="E69" s="83"/>
      <c r="F69" s="89"/>
      <c r="G69" s="1"/>
      <c r="H69" s="1"/>
      <c r="I69" s="1"/>
      <c r="J69" s="1"/>
      <c r="K69" s="1"/>
    </row>
    <row r="70" spans="2:11">
      <c r="B70" s="192" t="s">
        <v>39</v>
      </c>
      <c r="C70" s="193" t="s">
        <v>45</v>
      </c>
      <c r="D70" s="120" t="s">
        <v>73</v>
      </c>
      <c r="E70" s="109" t="s">
        <v>74</v>
      </c>
      <c r="F70" s="110" t="s">
        <v>75</v>
      </c>
      <c r="G70" s="1"/>
      <c r="H70" s="1"/>
      <c r="I70" s="1"/>
      <c r="J70" s="1"/>
      <c r="K70" s="1"/>
    </row>
    <row r="71" spans="2:11">
      <c r="B71" s="187"/>
      <c r="C71" s="189"/>
      <c r="D71" s="121" t="s">
        <v>51</v>
      </c>
      <c r="E71" s="111" t="s">
        <v>51</v>
      </c>
      <c r="F71" s="108" t="s">
        <v>51</v>
      </c>
      <c r="G71" s="1"/>
      <c r="H71" s="1"/>
      <c r="I71" s="1"/>
      <c r="J71" s="1"/>
      <c r="K71" s="1"/>
    </row>
    <row r="72" spans="2:11">
      <c r="B72" s="116"/>
      <c r="C72" s="117"/>
      <c r="D72" s="118"/>
      <c r="E72" s="118"/>
      <c r="F72" s="119"/>
      <c r="G72" s="1"/>
      <c r="H72" s="1"/>
      <c r="I72" s="1"/>
      <c r="J72" s="1"/>
      <c r="K72" s="1"/>
    </row>
    <row r="73" spans="2:11">
      <c r="B73" s="88"/>
      <c r="C73" s="1"/>
      <c r="D73" s="83"/>
      <c r="E73" s="83"/>
      <c r="F73" s="89"/>
      <c r="G73" s="1"/>
      <c r="H73" s="1"/>
      <c r="I73" s="1"/>
      <c r="J73" s="1"/>
      <c r="K73" s="1"/>
    </row>
    <row r="74" spans="2:11">
      <c r="B74" s="124" t="s">
        <v>69</v>
      </c>
      <c r="C74" s="194" t="s">
        <v>85</v>
      </c>
      <c r="D74" s="195"/>
      <c r="E74" s="83"/>
      <c r="F74" s="89"/>
      <c r="G74" s="1"/>
      <c r="H74" s="1"/>
      <c r="I74" s="1"/>
      <c r="J74" s="1"/>
      <c r="K74" s="1"/>
    </row>
    <row r="75" spans="2:11">
      <c r="B75" s="192" t="s">
        <v>39</v>
      </c>
      <c r="C75" s="193" t="s">
        <v>45</v>
      </c>
      <c r="D75" s="109" t="s">
        <v>73</v>
      </c>
      <c r="E75" s="120" t="s">
        <v>74</v>
      </c>
      <c r="F75" s="110" t="s">
        <v>75</v>
      </c>
      <c r="G75" s="1"/>
      <c r="H75" s="1"/>
      <c r="I75" s="1"/>
      <c r="J75" s="1"/>
      <c r="K75" s="1"/>
    </row>
    <row r="76" spans="2:11">
      <c r="B76" s="187"/>
      <c r="C76" s="189"/>
      <c r="D76" s="111" t="s">
        <v>51</v>
      </c>
      <c r="E76" s="121" t="s">
        <v>51</v>
      </c>
      <c r="F76" s="108" t="s">
        <v>51</v>
      </c>
      <c r="G76" s="1"/>
      <c r="H76" s="1"/>
      <c r="I76" s="1"/>
      <c r="J76" s="1"/>
      <c r="K76" s="1"/>
    </row>
    <row r="77" spans="2:11">
      <c r="B77" s="116"/>
      <c r="C77" s="117"/>
      <c r="D77" s="118"/>
      <c r="E77" s="118"/>
      <c r="F77" s="119"/>
      <c r="G77" s="1"/>
      <c r="H77" s="1"/>
      <c r="I77" s="1"/>
      <c r="J77" s="1"/>
      <c r="K77" s="1"/>
    </row>
    <row r="78" spans="2:11">
      <c r="B78" s="88"/>
      <c r="C78" s="1"/>
      <c r="D78" s="83"/>
      <c r="E78" s="83"/>
      <c r="F78" s="89"/>
      <c r="G78" s="1"/>
      <c r="H78" s="1"/>
      <c r="I78" s="1"/>
      <c r="J78" s="1"/>
      <c r="K78" s="1"/>
    </row>
    <row r="79" spans="2:11">
      <c r="B79" s="123" t="s">
        <v>69</v>
      </c>
      <c r="C79" s="196" t="s">
        <v>64</v>
      </c>
      <c r="D79" s="195"/>
      <c r="E79" s="83"/>
      <c r="F79" s="89"/>
      <c r="G79" s="1"/>
      <c r="H79" s="1"/>
      <c r="I79" s="1"/>
      <c r="J79" s="1"/>
      <c r="K79" s="1"/>
    </row>
    <row r="80" spans="2:11">
      <c r="B80" s="192" t="s">
        <v>39</v>
      </c>
      <c r="C80" s="193" t="s">
        <v>45</v>
      </c>
      <c r="D80" s="109" t="s">
        <v>73</v>
      </c>
      <c r="E80" s="120" t="s">
        <v>74</v>
      </c>
      <c r="F80" s="110" t="s">
        <v>75</v>
      </c>
      <c r="G80" s="1"/>
      <c r="H80" s="1"/>
      <c r="I80" s="1"/>
      <c r="J80" s="1"/>
      <c r="K80" s="1"/>
    </row>
    <row r="81" spans="2:11">
      <c r="B81" s="187"/>
      <c r="C81" s="189"/>
      <c r="D81" s="111" t="s">
        <v>51</v>
      </c>
      <c r="E81" s="121" t="s">
        <v>51</v>
      </c>
      <c r="F81" s="108" t="s">
        <v>51</v>
      </c>
      <c r="G81" s="1"/>
      <c r="H81" s="1"/>
      <c r="I81" s="1"/>
      <c r="J81" s="1"/>
      <c r="K81" s="1"/>
    </row>
    <row r="82" spans="2:11">
      <c r="B82" s="116"/>
      <c r="C82" s="117"/>
      <c r="D82" s="118"/>
      <c r="E82" s="118"/>
      <c r="F82" s="119"/>
      <c r="G82" s="1"/>
      <c r="H82" s="1"/>
      <c r="I82" s="1"/>
      <c r="J82" s="1"/>
      <c r="K82" s="1"/>
    </row>
    <row r="83" spans="2:11">
      <c r="B83" s="88"/>
      <c r="C83" s="1"/>
      <c r="D83" s="83"/>
      <c r="E83" s="83"/>
      <c r="F83" s="89"/>
      <c r="G83" s="1"/>
      <c r="H83" s="1"/>
      <c r="I83" s="1"/>
      <c r="J83" s="1"/>
      <c r="K83" s="1"/>
    </row>
    <row r="84" spans="2:11">
      <c r="B84" s="124" t="s">
        <v>69</v>
      </c>
      <c r="C84" s="70" t="s">
        <v>49</v>
      </c>
      <c r="D84" s="83"/>
      <c r="E84" s="83"/>
      <c r="F84" s="89"/>
      <c r="G84" s="1"/>
      <c r="H84" s="1"/>
      <c r="I84" s="1"/>
      <c r="J84" s="1"/>
      <c r="K84" s="1"/>
    </row>
    <row r="85" spans="2:11">
      <c r="B85" s="192" t="s">
        <v>39</v>
      </c>
      <c r="C85" s="193" t="s">
        <v>45</v>
      </c>
      <c r="D85" s="120" t="s">
        <v>73</v>
      </c>
      <c r="E85" s="109" t="s">
        <v>74</v>
      </c>
      <c r="F85" s="110" t="s">
        <v>75</v>
      </c>
      <c r="G85" s="1"/>
      <c r="H85" s="1"/>
      <c r="I85" s="1"/>
      <c r="J85" s="1"/>
      <c r="K85" s="1"/>
    </row>
    <row r="86" spans="2:11">
      <c r="B86" s="187"/>
      <c r="C86" s="189"/>
      <c r="D86" s="121" t="s">
        <v>51</v>
      </c>
      <c r="E86" s="111" t="s">
        <v>51</v>
      </c>
      <c r="F86" s="108" t="s">
        <v>51</v>
      </c>
      <c r="G86" s="1"/>
      <c r="H86" s="1"/>
      <c r="I86" s="1"/>
      <c r="J86" s="1"/>
      <c r="K86" s="1"/>
    </row>
    <row r="87" spans="2:11">
      <c r="B87" s="116"/>
      <c r="C87" s="117"/>
      <c r="D87" s="118"/>
      <c r="E87" s="118"/>
      <c r="F87" s="119"/>
      <c r="G87" s="1"/>
      <c r="H87" s="1"/>
      <c r="I87" s="1"/>
      <c r="J87" s="1"/>
      <c r="K87" s="1"/>
    </row>
    <row r="88" spans="2:11">
      <c r="B88" s="88"/>
      <c r="C88" s="1"/>
      <c r="D88" s="83"/>
      <c r="E88" s="83"/>
      <c r="F88" s="89"/>
      <c r="G88" s="1"/>
      <c r="H88" s="1"/>
      <c r="I88" s="1"/>
      <c r="J88" s="1"/>
      <c r="K88" s="1"/>
    </row>
    <row r="89" spans="2:11">
      <c r="B89" s="123" t="s">
        <v>69</v>
      </c>
      <c r="C89" s="196" t="s">
        <v>58</v>
      </c>
      <c r="D89" s="195"/>
      <c r="E89" s="83"/>
      <c r="F89" s="89"/>
      <c r="G89" s="1"/>
      <c r="H89" s="1"/>
      <c r="I89" s="1"/>
      <c r="J89" s="1"/>
      <c r="K89" s="1"/>
    </row>
    <row r="90" spans="2:11">
      <c r="B90" s="192" t="s">
        <v>39</v>
      </c>
      <c r="C90" s="193" t="s">
        <v>45</v>
      </c>
      <c r="D90" s="109" t="s">
        <v>73</v>
      </c>
      <c r="E90" s="120" t="s">
        <v>74</v>
      </c>
      <c r="F90" s="110" t="s">
        <v>75</v>
      </c>
      <c r="G90" s="1"/>
      <c r="H90" s="1"/>
      <c r="I90" s="1"/>
      <c r="J90" s="1"/>
      <c r="K90" s="1"/>
    </row>
    <row r="91" spans="2:11">
      <c r="B91" s="187"/>
      <c r="C91" s="189"/>
      <c r="D91" s="111" t="s">
        <v>51</v>
      </c>
      <c r="E91" s="121" t="s">
        <v>51</v>
      </c>
      <c r="F91" s="108" t="s">
        <v>51</v>
      </c>
      <c r="G91" s="1"/>
      <c r="H91" s="1"/>
      <c r="I91" s="1"/>
      <c r="J91" s="1"/>
      <c r="K91" s="1"/>
    </row>
    <row r="92" spans="2:11">
      <c r="B92" s="116"/>
      <c r="C92" s="117"/>
      <c r="D92" s="118"/>
      <c r="E92" s="118"/>
      <c r="F92" s="119"/>
      <c r="G92" s="1"/>
      <c r="H92" s="1"/>
      <c r="I92" s="1"/>
      <c r="J92" s="1"/>
      <c r="K92" s="1"/>
    </row>
    <row r="93" spans="2:11">
      <c r="B93" s="11"/>
      <c r="C93" s="1"/>
      <c r="D93" s="83"/>
      <c r="E93" s="83"/>
      <c r="F93" s="89"/>
      <c r="G93" s="1"/>
      <c r="H93" s="1"/>
      <c r="I93" s="1"/>
      <c r="J93" s="1"/>
      <c r="K93" s="1"/>
    </row>
    <row r="94" spans="2:11">
      <c r="B94" s="124" t="s">
        <v>69</v>
      </c>
      <c r="C94" s="70" t="s">
        <v>59</v>
      </c>
      <c r="D94" s="83"/>
      <c r="E94" s="83"/>
      <c r="F94" s="89"/>
      <c r="G94" s="1"/>
      <c r="H94" s="1"/>
      <c r="I94" s="1"/>
      <c r="J94" s="1"/>
      <c r="K94" s="1"/>
    </row>
    <row r="95" spans="2:11">
      <c r="B95" s="192" t="s">
        <v>39</v>
      </c>
      <c r="C95" s="193" t="s">
        <v>45</v>
      </c>
      <c r="D95" s="120" t="s">
        <v>73</v>
      </c>
      <c r="E95" s="109" t="s">
        <v>74</v>
      </c>
      <c r="F95" s="110" t="s">
        <v>75</v>
      </c>
      <c r="G95" s="1"/>
      <c r="H95" s="1"/>
      <c r="I95" s="1"/>
      <c r="J95" s="1"/>
      <c r="K95" s="1"/>
    </row>
    <row r="96" spans="2:11">
      <c r="B96" s="187"/>
      <c r="C96" s="189"/>
      <c r="D96" s="121" t="s">
        <v>51</v>
      </c>
      <c r="E96" s="111" t="s">
        <v>51</v>
      </c>
      <c r="F96" s="108" t="s">
        <v>51</v>
      </c>
      <c r="G96" s="1"/>
      <c r="H96" s="1"/>
      <c r="I96" s="1"/>
      <c r="J96" s="1"/>
      <c r="K96" s="1"/>
    </row>
    <row r="97" spans="2:11">
      <c r="B97" s="116"/>
      <c r="C97" s="117"/>
      <c r="D97" s="118"/>
      <c r="E97" s="118"/>
      <c r="F97" s="119"/>
      <c r="G97" s="1"/>
      <c r="H97" s="1"/>
      <c r="I97" s="1"/>
      <c r="J97" s="1"/>
      <c r="K97" s="1"/>
    </row>
    <row r="98" spans="2:11">
      <c r="B98" s="88"/>
      <c r="C98" s="1"/>
      <c r="D98" s="83"/>
      <c r="E98" s="83"/>
      <c r="F98" s="89"/>
      <c r="G98" s="1"/>
      <c r="H98" s="1"/>
      <c r="I98" s="1"/>
      <c r="J98" s="1"/>
      <c r="K98" s="1"/>
    </row>
    <row r="99" spans="2:11">
      <c r="B99" s="123" t="s">
        <v>69</v>
      </c>
      <c r="C99" s="196" t="s">
        <v>86</v>
      </c>
      <c r="D99" s="195"/>
      <c r="E99" s="83"/>
      <c r="F99" s="89"/>
      <c r="G99" s="1"/>
      <c r="H99" s="1"/>
      <c r="I99" s="1"/>
      <c r="J99" s="1"/>
      <c r="K99" s="1"/>
    </row>
    <row r="100" spans="2:11">
      <c r="B100" s="192" t="s">
        <v>39</v>
      </c>
      <c r="C100" s="193" t="s">
        <v>45</v>
      </c>
      <c r="D100" s="109" t="s">
        <v>73</v>
      </c>
      <c r="E100" s="120" t="s">
        <v>74</v>
      </c>
      <c r="F100" s="110" t="s">
        <v>75</v>
      </c>
      <c r="G100" s="1"/>
      <c r="H100" s="1"/>
      <c r="I100" s="1"/>
      <c r="J100" s="1"/>
      <c r="K100" s="1"/>
    </row>
    <row r="101" spans="2:11">
      <c r="B101" s="187"/>
      <c r="C101" s="189"/>
      <c r="D101" s="111" t="s">
        <v>51</v>
      </c>
      <c r="E101" s="121" t="s">
        <v>51</v>
      </c>
      <c r="F101" s="108" t="s">
        <v>51</v>
      </c>
      <c r="G101" s="1"/>
      <c r="H101" s="1"/>
      <c r="I101" s="1"/>
      <c r="J101" s="1"/>
      <c r="K101" s="1"/>
    </row>
    <row r="102" spans="2:11">
      <c r="B102" s="116"/>
      <c r="C102" s="117"/>
      <c r="D102" s="118"/>
      <c r="E102" s="118"/>
      <c r="F102" s="119"/>
      <c r="G102" s="1"/>
      <c r="H102" s="1"/>
      <c r="I102" s="1"/>
      <c r="J102" s="1"/>
      <c r="K102" s="1"/>
    </row>
    <row r="103" spans="2:11">
      <c r="B103" s="88"/>
      <c r="C103" s="1"/>
      <c r="D103" s="83"/>
      <c r="E103" s="83"/>
      <c r="F103" s="89"/>
      <c r="G103" s="1"/>
      <c r="H103" s="1"/>
      <c r="I103" s="1"/>
      <c r="J103" s="1"/>
      <c r="K103" s="1"/>
    </row>
    <row r="104" spans="2:11">
      <c r="B104" s="124" t="s">
        <v>69</v>
      </c>
      <c r="C104" s="194" t="s">
        <v>87</v>
      </c>
      <c r="D104" s="195"/>
      <c r="E104" s="83"/>
      <c r="F104" s="89"/>
      <c r="G104" s="1"/>
      <c r="H104" s="1"/>
      <c r="I104" s="1"/>
      <c r="J104" s="1"/>
      <c r="K104" s="1"/>
    </row>
    <row r="105" spans="2:11">
      <c r="B105" s="192" t="s">
        <v>39</v>
      </c>
      <c r="C105" s="193" t="s">
        <v>45</v>
      </c>
      <c r="D105" s="109" t="s">
        <v>73</v>
      </c>
      <c r="E105" s="120" t="s">
        <v>74</v>
      </c>
      <c r="F105" s="110" t="s">
        <v>75</v>
      </c>
      <c r="G105" s="1"/>
      <c r="H105" s="1"/>
      <c r="I105" s="1"/>
      <c r="J105" s="1"/>
      <c r="K105" s="1"/>
    </row>
    <row r="106" spans="2:11">
      <c r="B106" s="187"/>
      <c r="C106" s="189"/>
      <c r="D106" s="111" t="s">
        <v>51</v>
      </c>
      <c r="E106" s="121" t="s">
        <v>51</v>
      </c>
      <c r="F106" s="108" t="s">
        <v>51</v>
      </c>
      <c r="G106" s="1"/>
      <c r="H106" s="1"/>
      <c r="I106" s="1"/>
      <c r="J106" s="1"/>
      <c r="K106" s="1"/>
    </row>
    <row r="107" spans="2:11">
      <c r="B107" s="116"/>
      <c r="C107" s="117"/>
      <c r="D107" s="118"/>
      <c r="E107" s="118"/>
      <c r="F107" s="119"/>
      <c r="G107" s="1"/>
      <c r="H107" s="1"/>
      <c r="I107" s="1"/>
      <c r="J107" s="1"/>
      <c r="K107" s="1"/>
    </row>
    <row r="108" spans="2:11">
      <c r="B108" s="88"/>
      <c r="C108" s="1"/>
      <c r="D108" s="83"/>
      <c r="E108" s="83"/>
      <c r="F108" s="89"/>
      <c r="G108" s="1"/>
      <c r="H108" s="1"/>
      <c r="I108" s="1"/>
      <c r="J108" s="1"/>
      <c r="K108" s="1"/>
    </row>
    <row r="109" spans="2:11">
      <c r="B109" s="123" t="s">
        <v>69</v>
      </c>
      <c r="C109" s="122" t="s">
        <v>62</v>
      </c>
      <c r="D109" s="83"/>
      <c r="E109" s="83"/>
      <c r="F109" s="89"/>
      <c r="G109" s="1"/>
      <c r="H109" s="1"/>
      <c r="I109" s="1"/>
      <c r="J109" s="1"/>
      <c r="K109" s="1"/>
    </row>
    <row r="110" spans="2:11">
      <c r="B110" s="192" t="s">
        <v>39</v>
      </c>
      <c r="C110" s="193" t="s">
        <v>45</v>
      </c>
      <c r="D110" s="120" t="s">
        <v>73</v>
      </c>
      <c r="E110" s="109" t="s">
        <v>74</v>
      </c>
      <c r="F110" s="110" t="s">
        <v>75</v>
      </c>
      <c r="G110" s="1"/>
      <c r="H110" s="1"/>
      <c r="I110" s="1"/>
      <c r="J110" s="1"/>
      <c r="K110" s="1"/>
    </row>
    <row r="111" spans="2:11">
      <c r="B111" s="187"/>
      <c r="C111" s="189"/>
      <c r="D111" s="121" t="s">
        <v>51</v>
      </c>
      <c r="E111" s="111" t="s">
        <v>51</v>
      </c>
      <c r="F111" s="108" t="s">
        <v>51</v>
      </c>
      <c r="G111" s="1"/>
      <c r="H111" s="1"/>
      <c r="I111" s="1"/>
      <c r="J111" s="1"/>
      <c r="K111" s="1"/>
    </row>
    <row r="112" spans="2:11">
      <c r="B112" s="116"/>
      <c r="C112" s="117"/>
      <c r="D112" s="118"/>
      <c r="E112" s="118"/>
      <c r="F112" s="119"/>
      <c r="G112" s="1"/>
      <c r="H112" s="1"/>
      <c r="I112" s="1"/>
      <c r="J112" s="1"/>
      <c r="K112" s="1"/>
    </row>
    <row r="113" spans="2:11">
      <c r="B113" s="11"/>
      <c r="C113" s="1"/>
      <c r="D113" s="12"/>
      <c r="E113" s="12"/>
      <c r="F113" s="12"/>
      <c r="G113" s="1"/>
      <c r="H113" s="1"/>
      <c r="I113" s="1"/>
      <c r="J113" s="1"/>
      <c r="K113" s="1"/>
    </row>
    <row r="114" spans="2:11">
      <c r="B114" s="11"/>
      <c r="C114" s="1"/>
      <c r="D114" s="12"/>
      <c r="E114" s="12"/>
      <c r="F114" s="12"/>
      <c r="G114" s="1"/>
      <c r="H114" s="1"/>
      <c r="I114" s="1"/>
      <c r="J114" s="1"/>
      <c r="K114" s="1"/>
    </row>
    <row r="115" spans="2:11">
      <c r="B115" s="11"/>
      <c r="C115" s="1"/>
      <c r="D115" s="12"/>
      <c r="E115" s="12"/>
      <c r="F115" s="12"/>
      <c r="G115" s="1"/>
      <c r="H115" s="1"/>
      <c r="I115" s="1"/>
      <c r="J115" s="1"/>
      <c r="K115" s="1"/>
    </row>
    <row r="116" spans="2:11">
      <c r="B116" s="11"/>
      <c r="C116" s="1"/>
      <c r="D116" s="12"/>
      <c r="E116" s="12"/>
      <c r="F116" s="12"/>
      <c r="G116" s="1"/>
      <c r="H116" s="1"/>
      <c r="I116" s="1"/>
      <c r="J116" s="1"/>
      <c r="K116" s="1"/>
    </row>
    <row r="117" spans="2:11">
      <c r="B117" s="11"/>
      <c r="C117" s="1"/>
      <c r="D117" s="12"/>
      <c r="E117" s="12"/>
      <c r="F117" s="12"/>
      <c r="G117" s="1"/>
      <c r="H117" s="1"/>
      <c r="I117" s="1"/>
      <c r="J117" s="1"/>
      <c r="K117" s="1"/>
    </row>
    <row r="118" spans="2:11">
      <c r="B118" s="11"/>
      <c r="C118" s="1"/>
      <c r="D118" s="12"/>
      <c r="E118" s="12"/>
      <c r="F118" s="12"/>
      <c r="G118" s="1"/>
      <c r="H118" s="1"/>
      <c r="I118" s="1"/>
      <c r="J118" s="1"/>
      <c r="K118" s="1"/>
    </row>
    <row r="119" spans="2:11">
      <c r="B119" s="11"/>
      <c r="C119" s="1"/>
      <c r="D119" s="12"/>
      <c r="E119" s="12"/>
      <c r="F119" s="12"/>
      <c r="G119" s="1"/>
      <c r="H119" s="1"/>
      <c r="I119" s="1"/>
      <c r="J119" s="1"/>
      <c r="K119" s="1"/>
    </row>
    <row r="120" spans="2:11">
      <c r="B120" s="11"/>
      <c r="C120" s="1"/>
      <c r="D120" s="12"/>
      <c r="E120" s="12"/>
      <c r="F120" s="12"/>
      <c r="G120" s="1"/>
      <c r="H120" s="1"/>
      <c r="I120" s="1"/>
      <c r="J120" s="1"/>
      <c r="K120" s="1"/>
    </row>
  </sheetData>
  <mergeCells count="45">
    <mergeCell ref="C4:D4"/>
    <mergeCell ref="B5:B6"/>
    <mergeCell ref="C5:C6"/>
    <mergeCell ref="C12:D12"/>
    <mergeCell ref="B13:B14"/>
    <mergeCell ref="C13:C14"/>
    <mergeCell ref="B60:B61"/>
    <mergeCell ref="C60:C61"/>
    <mergeCell ref="C23:D23"/>
    <mergeCell ref="B24:B25"/>
    <mergeCell ref="C24:C25"/>
    <mergeCell ref="C31:D31"/>
    <mergeCell ref="B32:B33"/>
    <mergeCell ref="C32:C33"/>
    <mergeCell ref="B42:B43"/>
    <mergeCell ref="C42:C43"/>
    <mergeCell ref="B54:B55"/>
    <mergeCell ref="C54:C55"/>
    <mergeCell ref="C59:D59"/>
    <mergeCell ref="B85:B86"/>
    <mergeCell ref="C85:C86"/>
    <mergeCell ref="C64:D64"/>
    <mergeCell ref="B65:B66"/>
    <mergeCell ref="C65:C66"/>
    <mergeCell ref="B70:B71"/>
    <mergeCell ref="C70:C71"/>
    <mergeCell ref="C74:D74"/>
    <mergeCell ref="B75:B76"/>
    <mergeCell ref="C75:C76"/>
    <mergeCell ref="C79:D79"/>
    <mergeCell ref="B80:B81"/>
    <mergeCell ref="C80:C81"/>
    <mergeCell ref="B110:B111"/>
    <mergeCell ref="C110:C111"/>
    <mergeCell ref="C89:D89"/>
    <mergeCell ref="B90:B91"/>
    <mergeCell ref="C90:C91"/>
    <mergeCell ref="B95:B96"/>
    <mergeCell ref="C95:C96"/>
    <mergeCell ref="C99:D99"/>
    <mergeCell ref="B100:B101"/>
    <mergeCell ref="C100:C101"/>
    <mergeCell ref="C104:D104"/>
    <mergeCell ref="B105:B106"/>
    <mergeCell ref="C105:C10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7A13D-EA33-47D9-9002-5D438418E32F}">
  <dimension ref="A3:K27"/>
  <sheetViews>
    <sheetView topLeftCell="A19" workbookViewId="0">
      <selection activeCell="H23" sqref="H23"/>
    </sheetView>
  </sheetViews>
  <sheetFormatPr defaultRowHeight="15"/>
  <cols>
    <col min="4" max="4" width="12.28515625" bestFit="1" customWidth="1"/>
    <col min="5" max="5" width="15.85546875" bestFit="1" customWidth="1"/>
  </cols>
  <sheetData>
    <row r="3" spans="1:5">
      <c r="A3" s="144"/>
      <c r="B3" s="145"/>
      <c r="C3" s="145"/>
      <c r="D3" s="125" t="s">
        <v>88</v>
      </c>
      <c r="E3" s="152" t="s">
        <v>89</v>
      </c>
    </row>
    <row r="4" spans="1:5">
      <c r="A4" s="142"/>
      <c r="B4" s="141"/>
      <c r="C4" s="141"/>
      <c r="D4" s="151" t="s">
        <v>90</v>
      </c>
      <c r="E4" s="153" t="s">
        <v>91</v>
      </c>
    </row>
    <row r="5" spans="1:5">
      <c r="A5" s="220" t="s">
        <v>33</v>
      </c>
      <c r="B5" s="221"/>
      <c r="C5" s="221"/>
      <c r="D5" s="146"/>
      <c r="E5" s="154"/>
    </row>
    <row r="6" spans="1:5">
      <c r="A6" s="217" t="s">
        <v>52</v>
      </c>
      <c r="B6" s="218"/>
      <c r="C6" s="218"/>
      <c r="D6" s="147"/>
      <c r="E6" s="155"/>
    </row>
    <row r="7" spans="1:5">
      <c r="A7" s="217" t="s">
        <v>92</v>
      </c>
      <c r="B7" s="218"/>
      <c r="C7" s="218"/>
      <c r="D7" s="147"/>
      <c r="E7" s="155"/>
    </row>
    <row r="8" spans="1:5">
      <c r="A8" s="217" t="s">
        <v>37</v>
      </c>
      <c r="B8" s="218"/>
      <c r="C8" s="218"/>
      <c r="D8" s="148"/>
      <c r="E8" s="156"/>
    </row>
    <row r="9" spans="1:5">
      <c r="A9" s="130"/>
      <c r="B9" s="131"/>
      <c r="C9" s="150" t="s">
        <v>93</v>
      </c>
      <c r="D9" s="149">
        <f>D5-D6-D7+D8</f>
        <v>0</v>
      </c>
      <c r="E9" s="157">
        <f>E5-E6-E7+E8</f>
        <v>0</v>
      </c>
    </row>
    <row r="10" spans="1:5">
      <c r="A10" s="136"/>
      <c r="B10" s="137"/>
      <c r="C10" s="137"/>
      <c r="D10" s="137"/>
      <c r="E10" s="138"/>
    </row>
    <row r="11" spans="1:5">
      <c r="A11" s="139"/>
      <c r="B11" s="140"/>
      <c r="C11" s="141"/>
      <c r="D11" s="125" t="s">
        <v>94</v>
      </c>
      <c r="E11" s="158" t="s">
        <v>95</v>
      </c>
    </row>
    <row r="12" spans="1:5">
      <c r="A12" s="142"/>
      <c r="B12" s="143"/>
      <c r="C12" s="143"/>
      <c r="D12" s="126" t="s">
        <v>96</v>
      </c>
      <c r="E12" s="159" t="s">
        <v>97</v>
      </c>
    </row>
    <row r="13" spans="1:5">
      <c r="A13" s="220" t="s">
        <v>36</v>
      </c>
      <c r="B13" s="221"/>
      <c r="C13" s="222"/>
      <c r="D13" s="127"/>
      <c r="E13" s="160"/>
    </row>
    <row r="14" spans="1:5">
      <c r="A14" s="217" t="s">
        <v>53</v>
      </c>
      <c r="B14" s="218"/>
      <c r="C14" s="219"/>
      <c r="D14" s="128"/>
      <c r="E14" s="155"/>
    </row>
    <row r="15" spans="1:5">
      <c r="A15" s="217" t="s">
        <v>98</v>
      </c>
      <c r="B15" s="218"/>
      <c r="C15" s="219"/>
      <c r="D15" s="128"/>
      <c r="E15" s="155"/>
    </row>
    <row r="16" spans="1:5">
      <c r="A16" s="217" t="s">
        <v>55</v>
      </c>
      <c r="B16" s="218"/>
      <c r="C16" s="219"/>
      <c r="D16" s="129"/>
      <c r="E16" s="161"/>
    </row>
    <row r="17" spans="1:11">
      <c r="A17" s="132"/>
      <c r="B17" s="133"/>
      <c r="C17" s="134" t="s">
        <v>93</v>
      </c>
      <c r="D17" s="135">
        <f>D13-D14-D15+D16</f>
        <v>0</v>
      </c>
      <c r="E17" s="157">
        <f>E13-E14-E15+E16</f>
        <v>0</v>
      </c>
    </row>
    <row r="19" spans="1:11" ht="42" customHeight="1">
      <c r="A19" s="214" t="s">
        <v>99</v>
      </c>
      <c r="B19" s="215"/>
      <c r="C19" s="215"/>
      <c r="D19" s="215"/>
      <c r="E19" s="216"/>
      <c r="F19" s="164">
        <v>1</v>
      </c>
      <c r="G19" s="168">
        <f>D9</f>
        <v>0</v>
      </c>
      <c r="H19" s="162"/>
      <c r="I19" s="162"/>
      <c r="J19" s="162"/>
      <c r="K19" s="162"/>
    </row>
    <row r="20" spans="1:11" ht="42" customHeight="1">
      <c r="A20" s="208" t="s">
        <v>100</v>
      </c>
      <c r="B20" s="209"/>
      <c r="C20" s="209"/>
      <c r="D20" s="209"/>
      <c r="E20" s="210"/>
      <c r="F20" s="165">
        <v>2</v>
      </c>
      <c r="G20" s="169" t="s">
        <v>101</v>
      </c>
      <c r="H20" s="163"/>
      <c r="I20" s="163"/>
      <c r="J20" s="163"/>
      <c r="K20" s="163"/>
    </row>
    <row r="21" spans="1:11" ht="42" customHeight="1">
      <c r="A21" s="208" t="s">
        <v>102</v>
      </c>
      <c r="B21" s="209"/>
      <c r="C21" s="209"/>
      <c r="D21" s="209"/>
      <c r="E21" s="210"/>
      <c r="F21" s="165">
        <v>3</v>
      </c>
      <c r="G21" s="170">
        <f>SUM(G19:G20)</f>
        <v>0</v>
      </c>
      <c r="H21" s="163"/>
      <c r="I21" s="163"/>
      <c r="J21" s="163"/>
      <c r="K21" s="163"/>
    </row>
    <row r="22" spans="1:11" ht="42" customHeight="1">
      <c r="A22" s="208" t="s">
        <v>103</v>
      </c>
      <c r="B22" s="209"/>
      <c r="C22" s="209"/>
      <c r="D22" s="209"/>
      <c r="E22" s="210"/>
      <c r="F22" s="165">
        <v>4</v>
      </c>
      <c r="G22" s="170">
        <f>D17</f>
        <v>0</v>
      </c>
      <c r="H22" s="163"/>
      <c r="I22" s="163"/>
      <c r="J22" s="163"/>
      <c r="K22" s="163"/>
    </row>
    <row r="23" spans="1:11" ht="42" customHeight="1">
      <c r="A23" s="208" t="s">
        <v>104</v>
      </c>
      <c r="B23" s="209"/>
      <c r="C23" s="209"/>
      <c r="D23" s="209"/>
      <c r="E23" s="210"/>
      <c r="F23" s="166">
        <v>5</v>
      </c>
      <c r="G23" s="170">
        <f>G21-G22</f>
        <v>0</v>
      </c>
      <c r="H23" s="163"/>
      <c r="I23" s="163"/>
      <c r="J23" s="163"/>
      <c r="K23" s="163"/>
    </row>
    <row r="24" spans="1:11" ht="42" customHeight="1">
      <c r="A24" s="208" t="s">
        <v>105</v>
      </c>
      <c r="B24" s="209"/>
      <c r="C24" s="209"/>
      <c r="D24" s="209"/>
      <c r="E24" s="210"/>
      <c r="F24" s="166">
        <v>6</v>
      </c>
      <c r="G24" s="170">
        <f>E9</f>
        <v>0</v>
      </c>
      <c r="H24" s="163"/>
      <c r="I24" s="163"/>
      <c r="J24" s="163"/>
      <c r="K24" s="163"/>
    </row>
    <row r="25" spans="1:11" ht="42" customHeight="1">
      <c r="A25" s="208" t="s">
        <v>106</v>
      </c>
      <c r="B25" s="209"/>
      <c r="C25" s="209"/>
      <c r="D25" s="209"/>
      <c r="E25" s="210"/>
      <c r="F25" s="166">
        <v>7</v>
      </c>
      <c r="G25" s="170">
        <f>E17</f>
        <v>0</v>
      </c>
      <c r="H25" s="163"/>
      <c r="I25" s="163"/>
      <c r="J25" s="163"/>
      <c r="K25" s="163"/>
    </row>
    <row r="26" spans="1:11" ht="42" customHeight="1">
      <c r="A26" s="208" t="s">
        <v>107</v>
      </c>
      <c r="B26" s="209"/>
      <c r="C26" s="209"/>
      <c r="D26" s="209"/>
      <c r="E26" s="210"/>
      <c r="F26" s="166">
        <v>8</v>
      </c>
      <c r="G26" s="169" t="s">
        <v>108</v>
      </c>
      <c r="H26" s="163"/>
      <c r="I26" s="163"/>
      <c r="J26" s="163"/>
      <c r="K26" s="163"/>
    </row>
    <row r="27" spans="1:11" ht="42" customHeight="1">
      <c r="A27" s="211" t="s">
        <v>109</v>
      </c>
      <c r="B27" s="212"/>
      <c r="C27" s="212"/>
      <c r="D27" s="212"/>
      <c r="E27" s="213"/>
      <c r="F27" s="167">
        <v>9</v>
      </c>
      <c r="G27" s="171" t="s">
        <v>108</v>
      </c>
      <c r="H27" s="163"/>
      <c r="I27" s="163"/>
      <c r="J27" s="163"/>
      <c r="K27" s="163"/>
    </row>
  </sheetData>
  <mergeCells count="17">
    <mergeCell ref="A15:C15"/>
    <mergeCell ref="A16:C16"/>
    <mergeCell ref="A5:C5"/>
    <mergeCell ref="A6:C6"/>
    <mergeCell ref="A7:C7"/>
    <mergeCell ref="A8:C8"/>
    <mergeCell ref="A13:C13"/>
    <mergeCell ref="A14:C14"/>
    <mergeCell ref="A24:E24"/>
    <mergeCell ref="A27:E27"/>
    <mergeCell ref="A25:E25"/>
    <mergeCell ref="A26:E26"/>
    <mergeCell ref="A19:E19"/>
    <mergeCell ref="A20:E20"/>
    <mergeCell ref="A21:E21"/>
    <mergeCell ref="A22:E22"/>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SEAN MITCHELL</cp:lastModifiedBy>
  <cp:revision/>
  <dcterms:created xsi:type="dcterms:W3CDTF">2026-01-01T03:21:03Z</dcterms:created>
  <dcterms:modified xsi:type="dcterms:W3CDTF">2026-01-01T07:49:35Z</dcterms:modified>
  <cp:category/>
  <cp:contentStatus/>
</cp:coreProperties>
</file>