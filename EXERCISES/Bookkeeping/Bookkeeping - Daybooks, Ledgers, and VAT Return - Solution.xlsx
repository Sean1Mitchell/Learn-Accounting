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2657" documentId="13_ncr:1_{FBBE1567-C676-4A03-AAFB-5B5BF9667005}" xr6:coauthVersionLast="47" xr6:coauthVersionMax="47" xr10:uidLastSave="{54224FD4-7EEC-4D87-AE50-D2B06C6CE3BA}"/>
  <bookViews>
    <workbookView xWindow="-120" yWindow="-120" windowWidth="29040" windowHeight="15840" firstSheet="1" xr2:uid="{00000000-000D-0000-FFFF-FFFF00000000}"/>
  </bookViews>
  <sheets>
    <sheet name="Info" sheetId="1" r:id="rId1"/>
    <sheet name="Part A" sheetId="4" r:id="rId2"/>
    <sheet name="Part B" sheetId="5" r:id="rId3"/>
    <sheet name="Part C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4" l="1"/>
  <c r="J5" i="5"/>
  <c r="K10" i="5"/>
  <c r="K9" i="5"/>
  <c r="J7" i="5"/>
  <c r="J8" i="5"/>
  <c r="B38" i="4"/>
  <c r="B37" i="4"/>
  <c r="B36" i="4"/>
  <c r="B31" i="4"/>
  <c r="M14" i="6"/>
  <c r="B45" i="5"/>
  <c r="B46" i="5" s="1"/>
  <c r="B47" i="5" s="1"/>
  <c r="B48" i="5" s="1"/>
  <c r="B49" i="5" s="1"/>
  <c r="B50" i="5" s="1"/>
  <c r="B51" i="5" s="1"/>
  <c r="D36" i="5"/>
  <c r="E35" i="5"/>
  <c r="E34" i="5"/>
  <c r="F34" i="5" s="1"/>
  <c r="F35" i="5" s="1"/>
  <c r="F36" i="5" s="1"/>
  <c r="C36" i="5"/>
  <c r="C34" i="5"/>
  <c r="C35" i="5" s="1"/>
  <c r="E28" i="5"/>
  <c r="E26" i="5"/>
  <c r="F26" i="5" s="1"/>
  <c r="C27" i="5"/>
  <c r="C26" i="5"/>
  <c r="C28" i="5" s="1"/>
  <c r="C18" i="5"/>
  <c r="C17" i="5"/>
  <c r="C15" i="5"/>
  <c r="C16" i="5" s="1"/>
  <c r="E9" i="5"/>
  <c r="D8" i="5"/>
  <c r="D7" i="5"/>
  <c r="F7" i="5" s="1"/>
  <c r="F8" i="5" s="1"/>
  <c r="F9" i="5" s="1"/>
  <c r="C9" i="5"/>
  <c r="C7" i="5"/>
  <c r="C8" i="5" s="1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Q12" i="4"/>
  <c r="S10" i="4"/>
  <c r="E10" i="5" s="1"/>
  <c r="B18" i="5"/>
  <c r="E18" i="4"/>
  <c r="F18" i="4" s="1"/>
  <c r="B9" i="5"/>
  <c r="K10" i="4"/>
  <c r="L10" i="4" s="1"/>
  <c r="B28" i="5"/>
  <c r="E17" i="4"/>
  <c r="D17" i="4" s="1"/>
  <c r="B27" i="5"/>
  <c r="C31" i="4"/>
  <c r="E10" i="4"/>
  <c r="F10" i="4" s="1"/>
  <c r="B8" i="5"/>
  <c r="S23" i="4"/>
  <c r="D37" i="5" s="1"/>
  <c r="E9" i="4"/>
  <c r="D9" i="4" s="1"/>
  <c r="X22" i="4"/>
  <c r="X28" i="4" s="1"/>
  <c r="D112" i="5" s="1"/>
  <c r="F112" i="5" s="1"/>
  <c r="J23" i="5" s="1"/>
  <c r="U8" i="4"/>
  <c r="R21" i="4"/>
  <c r="W21" i="4" s="1"/>
  <c r="W28" i="4" s="1"/>
  <c r="D107" i="5" s="1"/>
  <c r="F107" i="5" s="1"/>
  <c r="J22" i="5" s="1"/>
  <c r="K17" i="4"/>
  <c r="L17" i="4" s="1"/>
  <c r="B36" i="5"/>
  <c r="E8" i="4"/>
  <c r="D8" i="4" s="1"/>
  <c r="R20" i="4"/>
  <c r="U20" i="4" s="1"/>
  <c r="U28" i="4" s="1"/>
  <c r="D97" i="5" s="1"/>
  <c r="F97" i="5" s="1"/>
  <c r="J20" i="5" s="1"/>
  <c r="T6" i="4"/>
  <c r="T12" i="4" s="1"/>
  <c r="E87" i="5" s="1"/>
  <c r="F87" i="5" s="1"/>
  <c r="K18" i="5" s="1"/>
  <c r="R7" i="4"/>
  <c r="E7" i="4"/>
  <c r="F7" i="4" s="1"/>
  <c r="B7" i="5"/>
  <c r="L9" i="4"/>
  <c r="B35" i="5"/>
  <c r="P19" i="4"/>
  <c r="B34" i="5"/>
  <c r="R18" i="4"/>
  <c r="K8" i="4"/>
  <c r="L8" i="4" s="1"/>
  <c r="K7" i="4"/>
  <c r="L7" i="4"/>
  <c r="Q4" i="4"/>
  <c r="R4" i="4" s="1"/>
  <c r="S4" i="4" s="1"/>
  <c r="T4" i="4" s="1"/>
  <c r="U4" i="4" s="1"/>
  <c r="Q16" i="4"/>
  <c r="R16" i="4"/>
  <c r="S16" i="4" s="1"/>
  <c r="T16" i="4" s="1"/>
  <c r="U16" i="4" s="1"/>
  <c r="V16" i="4" s="1"/>
  <c r="W16" i="4" s="1"/>
  <c r="X16" i="4" s="1"/>
  <c r="L20" i="4"/>
  <c r="K20" i="4"/>
  <c r="J20" i="4"/>
  <c r="J12" i="4"/>
  <c r="D20" i="4"/>
  <c r="E20" i="4"/>
  <c r="F20" i="4"/>
  <c r="F12" i="4"/>
  <c r="E12" i="4"/>
  <c r="L12" i="4"/>
  <c r="K12" i="4"/>
  <c r="D12" i="4"/>
  <c r="L15" i="4"/>
  <c r="K15" i="4"/>
  <c r="J15" i="4"/>
  <c r="H15" i="4"/>
  <c r="D15" i="4"/>
  <c r="E15" i="4"/>
  <c r="F15" i="4"/>
  <c r="B15" i="4"/>
  <c r="D47" i="5" l="1"/>
  <c r="D28" i="6"/>
  <c r="D72" i="5"/>
  <c r="F72" i="5" s="1"/>
  <c r="J15" i="5" s="1"/>
  <c r="E28" i="6"/>
  <c r="E44" i="5"/>
  <c r="F44" i="5" s="1"/>
  <c r="D20" i="6"/>
  <c r="E56" i="5"/>
  <c r="F56" i="5" s="1"/>
  <c r="E20" i="6"/>
  <c r="D62" i="5"/>
  <c r="F62" i="5" s="1"/>
  <c r="J13" i="5" s="1"/>
  <c r="E21" i="6"/>
  <c r="D45" i="5"/>
  <c r="D21" i="6"/>
  <c r="E48" i="5"/>
  <c r="D29" i="6"/>
  <c r="E77" i="5"/>
  <c r="F77" i="5" s="1"/>
  <c r="K16" i="5" s="1"/>
  <c r="E29" i="6"/>
  <c r="Q26" i="4"/>
  <c r="B26" i="5"/>
  <c r="C36" i="4"/>
  <c r="D15" i="5"/>
  <c r="F15" i="5" s="1"/>
  <c r="C37" i="4"/>
  <c r="D16" i="5"/>
  <c r="C38" i="4"/>
  <c r="E17" i="5"/>
  <c r="F10" i="5"/>
  <c r="F37" i="5"/>
  <c r="T18" i="4"/>
  <c r="T28" i="4" s="1"/>
  <c r="R28" i="4"/>
  <c r="V19" i="4"/>
  <c r="V28" i="4" s="1"/>
  <c r="D102" i="5" s="1"/>
  <c r="F102" i="5" s="1"/>
  <c r="J21" i="5" s="1"/>
  <c r="U7" i="4"/>
  <c r="U12" i="4" s="1"/>
  <c r="R12" i="4"/>
  <c r="B15" i="5"/>
  <c r="B16" i="5"/>
  <c r="B17" i="5"/>
  <c r="C32" i="4"/>
  <c r="E50" i="5" l="1"/>
  <c r="D23" i="6"/>
  <c r="E57" i="5"/>
  <c r="F57" i="5" s="1"/>
  <c r="K12" i="5" s="1"/>
  <c r="E23" i="6"/>
  <c r="D51" i="5"/>
  <c r="D31" i="6"/>
  <c r="D92" i="5"/>
  <c r="F92" i="5" s="1"/>
  <c r="J19" i="5" s="1"/>
  <c r="E31" i="6"/>
  <c r="Q28" i="4"/>
  <c r="Q14" i="4"/>
  <c r="F45" i="5"/>
  <c r="F16" i="5"/>
  <c r="F17" i="5" s="1"/>
  <c r="C39" i="4"/>
  <c r="J25" i="4"/>
  <c r="D27" i="5" s="1"/>
  <c r="F27" i="5" s="1"/>
  <c r="F28" i="5" s="1"/>
  <c r="C33" i="4"/>
  <c r="P24" i="4" s="1"/>
  <c r="C40" i="4" l="1"/>
  <c r="D25" i="4" s="1"/>
  <c r="C41" i="4"/>
  <c r="P9" i="4" s="1"/>
  <c r="S24" i="4"/>
  <c r="K25" i="4"/>
  <c r="J28" i="4"/>
  <c r="S28" i="4" l="1"/>
  <c r="D29" i="5"/>
  <c r="F29" i="5" s="1"/>
  <c r="S9" i="4"/>
  <c r="P12" i="4"/>
  <c r="E18" i="5"/>
  <c r="F18" i="5" s="1"/>
  <c r="E25" i="4"/>
  <c r="D28" i="4"/>
  <c r="K28" i="4"/>
  <c r="L25" i="4"/>
  <c r="L28" i="4" s="1"/>
  <c r="E82" i="5" l="1"/>
  <c r="F82" i="5" s="1"/>
  <c r="K17" i="5" s="1"/>
  <c r="E30" i="6"/>
  <c r="E32" i="6" s="1"/>
  <c r="M12" i="6" s="1"/>
  <c r="E49" i="5"/>
  <c r="D30" i="6"/>
  <c r="D32" i="6" s="1"/>
  <c r="M9" i="6" s="1"/>
  <c r="P14" i="4"/>
  <c r="J6" i="5" s="1"/>
  <c r="P28" i="4"/>
  <c r="K25" i="5"/>
  <c r="F25" i="4"/>
  <c r="F28" i="4" s="1"/>
  <c r="E28" i="4"/>
  <c r="S12" i="4"/>
  <c r="E19" i="5"/>
  <c r="F19" i="5" s="1"/>
  <c r="D46" i="5" l="1"/>
  <c r="F46" i="5" s="1"/>
  <c r="F47" i="5" s="1"/>
  <c r="F48" i="5" s="1"/>
  <c r="F49" i="5" s="1"/>
  <c r="F50" i="5" s="1"/>
  <c r="F51" i="5" s="1"/>
  <c r="J11" i="5" s="1"/>
  <c r="D22" i="6"/>
  <c r="D24" i="6" s="1"/>
  <c r="M6" i="6" s="1"/>
  <c r="M8" i="6" s="1"/>
  <c r="M10" i="6" s="1"/>
  <c r="D67" i="5"/>
  <c r="F67" i="5" s="1"/>
  <c r="J14" i="5" s="1"/>
  <c r="E22" i="6"/>
  <c r="E24" i="6" s="1"/>
  <c r="M11" i="6" s="1"/>
  <c r="J25" i="5"/>
  <c r="J2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MITCHELL</author>
  </authors>
  <commentList>
    <comment ref="B2" authorId="0" shapeId="0" xr:uid="{C7EE101F-42CF-4F7F-AD25-9DE9A406F0F4}">
      <text>
        <r>
          <rPr>
            <sz val="11"/>
            <color theme="1"/>
            <rFont val="Calibri"/>
            <family val="2"/>
            <scheme val="minor"/>
          </rPr>
          <t>The Gross goes to the Sales Ledger.
The VAT goes to VAT Account in the General Ledger.
The Net goes to the respective Account in the General Ledger.</t>
        </r>
      </text>
    </comment>
    <comment ref="H2" authorId="0" shapeId="0" xr:uid="{037687E3-8526-4A6D-80DF-710F1C451127}">
      <text>
        <r>
          <rPr>
            <sz val="11"/>
            <color theme="1"/>
            <rFont val="Calibri"/>
            <family val="2"/>
            <scheme val="minor"/>
          </rPr>
          <t>The Gross goes to the Purchase Ledger.
The VAT goes to VAT Account in the General Ledger.
The Net goes to the respective Account in the General Ledger.</t>
        </r>
      </text>
    </comment>
    <comment ref="N2" authorId="0" shapeId="0" xr:uid="{04FC4110-2FC3-428B-862C-B8E1466838C2}">
      <text>
        <t>The VAT goes to VAT Account in the General Ledger.
The Net goes to the respective Account in the General Ledger.</t>
      </text>
    </comment>
  </commentList>
</comments>
</file>

<file path=xl/sharedStrings.xml><?xml version="1.0" encoding="utf-8"?>
<sst xmlns="http://schemas.openxmlformats.org/spreadsheetml/2006/main" count="448" uniqueCount="135">
  <si>
    <t>You work for an Accounting Firm as a Bookkeeper and you're manager has came to you with a new client;</t>
  </si>
  <si>
    <t>Miss Jones.</t>
  </si>
  <si>
    <t>Part A:</t>
  </si>
  <si>
    <t>Update Miss Jone's Daybooks from the list of transactions provided below:</t>
  </si>
  <si>
    <t>Part B:</t>
  </si>
  <si>
    <t xml:space="preserve">Transfer the Daybooks into the Ledger Accounts: Sales Ledger, Purchase Ledger, </t>
  </si>
  <si>
    <t>and General Ledger, then produce a Trial Balance.</t>
  </si>
  <si>
    <t>Part C:</t>
  </si>
  <si>
    <t>Produce a VAT Return for Miss Jones.</t>
  </si>
  <si>
    <t>Transactions to be Recorded:</t>
  </si>
  <si>
    <t>Miss Jone's has injected £100,000 in bank and £8,000 of cash into her business as capital.</t>
  </si>
  <si>
    <t>Bought goods for resale from Ladies Ltd on credit for £2,750 which in inclusive of VAT. They offer a prompt payment discount of 2% if paid within 28 days.</t>
  </si>
  <si>
    <t>Bought goods for resale on credit from D n A Partners. for £3,200 Gross.</t>
  </si>
  <si>
    <t>Bought office equipment for £5,000 including VAT paying by debit card through the bank.</t>
  </si>
  <si>
    <t>Paid monthly rent and rates of £1,850 via bacs transfer - this is exempt from VAT.</t>
  </si>
  <si>
    <t>Received an invoice for purchase of inventory from D n A Partners. for £3,500 (zero VAT).</t>
  </si>
  <si>
    <t>Sold goods on credit to David and Sons plc for £5,600 Gross.</t>
  </si>
  <si>
    <t>Cash sales of £1,800 inclusive of VAT.</t>
  </si>
  <si>
    <t>Paid telephone of £154.00 Gross by cash</t>
  </si>
  <si>
    <t>Sold goods to Rainbow Plc on credit for £5,000 net. Prompt payment discount of 3% if paid with 28 days.</t>
  </si>
  <si>
    <t>Returned goods to D n A Partners. and received a credit note for £820 inclusive of VAT.</t>
  </si>
  <si>
    <t>Purchased a car from Cars and Vans for £22,000 including VAT paid by bacs transfer. He will be using this solely for business purposes.</t>
  </si>
  <si>
    <t>Cash sales of £1,000 (zero VAT).</t>
  </si>
  <si>
    <t>Paid postage of £51.00 by cash. Exempt from VAT</t>
  </si>
  <si>
    <t>Sent invoice for sale of goods to Rainbow Plc for £4,000 net. Prompt payment discount of 3% if paid with 28 days.</t>
  </si>
  <si>
    <t>Paid bacs transfer to D n A Partners. for £2,500.</t>
  </si>
  <si>
    <t>Issued invoice for sale of goods to David and Sons for £6,000  Gross.</t>
  </si>
  <si>
    <t>Sent cheque to Ladies Ltd for the amount due, after deduction of prompt payment discount.</t>
  </si>
  <si>
    <t>Rainbow Plc returned goods and was sent a credit note for £1000.00 plus VAT.</t>
  </si>
  <si>
    <t>Received an invoice for purchase of goods from Ladies Ltd for £2,600 inclusive of VAT.</t>
  </si>
  <si>
    <t>David and Sons returned goods for £800 inclusive of VAT.</t>
  </si>
  <si>
    <t>Rainbow Plc sent us a cheque for the full amount due, after deduction of prompt payment discount.</t>
  </si>
  <si>
    <t>Received £1,500 in cash from David and Sons as a part payment of the balance due.</t>
  </si>
  <si>
    <t>Part of the Sales Ledger</t>
  </si>
  <si>
    <t>Part of the Purchase Ledger</t>
  </si>
  <si>
    <t>Part of the General Ledger</t>
  </si>
  <si>
    <t>Sales Day Book</t>
  </si>
  <si>
    <t>DR</t>
  </si>
  <si>
    <t>CR</t>
  </si>
  <si>
    <t>Purchase Day Book</t>
  </si>
  <si>
    <t>Cash Book Lodged</t>
  </si>
  <si>
    <t>Cr</t>
  </si>
  <si>
    <t>Date</t>
  </si>
  <si>
    <t>Name of Customer</t>
  </si>
  <si>
    <t>Gross</t>
  </si>
  <si>
    <t>VAT</t>
  </si>
  <si>
    <t>Net</t>
  </si>
  <si>
    <t>Name of Supplier</t>
  </si>
  <si>
    <t>Details</t>
  </si>
  <si>
    <t>Bank</t>
  </si>
  <si>
    <t>Cash</t>
  </si>
  <si>
    <t>Receipts Customers</t>
  </si>
  <si>
    <t>Capital</t>
  </si>
  <si>
    <t>Net Sales</t>
  </si>
  <si>
    <t>£</t>
  </si>
  <si>
    <t>David and Sons Plc</t>
  </si>
  <si>
    <t>Ladies Ltd</t>
  </si>
  <si>
    <t>Cash Sales</t>
  </si>
  <si>
    <t>Rainbow Plc</t>
  </si>
  <si>
    <t>DNA Partners</t>
  </si>
  <si>
    <t>-</t>
  </si>
  <si>
    <t>David and Sons</t>
  </si>
  <si>
    <t>Sales Return Day Book</t>
  </si>
  <si>
    <t>Purchase Return Day Book</t>
  </si>
  <si>
    <t>Balance B/D</t>
  </si>
  <si>
    <t>Cash Book Drawn</t>
  </si>
  <si>
    <t>Dr</t>
  </si>
  <si>
    <t>Payments Suppliers</t>
  </si>
  <si>
    <t>Office Equipment</t>
  </si>
  <si>
    <t>Phone</t>
  </si>
  <si>
    <t>Rent &amp; Rates</t>
  </si>
  <si>
    <t>Net Motors</t>
  </si>
  <si>
    <t>Postage</t>
  </si>
  <si>
    <t>Rent and Rates</t>
  </si>
  <si>
    <t>EXEMPT</t>
  </si>
  <si>
    <t>Telephone</t>
  </si>
  <si>
    <t>Cars and Vans</t>
  </si>
  <si>
    <t>Discount Allowed</t>
  </si>
  <si>
    <t>Discount Received</t>
  </si>
  <si>
    <t>Balance C/D</t>
  </si>
  <si>
    <t>(Supplier)</t>
  </si>
  <si>
    <t>1st Invoice</t>
  </si>
  <si>
    <t>PAY</t>
  </si>
  <si>
    <t>Less Discount</t>
  </si>
  <si>
    <t>Payable</t>
  </si>
  <si>
    <t>(Customer)</t>
  </si>
  <si>
    <t>2nd Invoice</t>
  </si>
  <si>
    <t>Less Return</t>
  </si>
  <si>
    <t>Total</t>
  </si>
  <si>
    <t>Sales Ledger</t>
  </si>
  <si>
    <t>Miss Jones</t>
  </si>
  <si>
    <t>Trial Balance</t>
  </si>
  <si>
    <t>Account:</t>
  </si>
  <si>
    <t>DR £</t>
  </si>
  <si>
    <t>CR £</t>
  </si>
  <si>
    <t>Debit</t>
  </si>
  <si>
    <t>Credit</t>
  </si>
  <si>
    <t>Balance</t>
  </si>
  <si>
    <t>Cash Book Lodged (Receipts)</t>
  </si>
  <si>
    <t>Purchase Ledger</t>
  </si>
  <si>
    <t>Difference:</t>
  </si>
  <si>
    <t>Cash Book Drawn (Payments)</t>
  </si>
  <si>
    <t>General Ledger</t>
  </si>
  <si>
    <t>Discount Allowed Day Book</t>
  </si>
  <si>
    <t>Discount Received Day Book</t>
  </si>
  <si>
    <t>Sales</t>
  </si>
  <si>
    <t>Sales Returns</t>
  </si>
  <si>
    <t>Purchases</t>
  </si>
  <si>
    <t>Purchase Returns</t>
  </si>
  <si>
    <t>Motor Vehicle</t>
  </si>
  <si>
    <t>VAT Return</t>
  </si>
  <si>
    <t>There are nine sections regarding VAT, and they are:</t>
  </si>
  <si>
    <t>VAT due in this period of sales and other outputs</t>
  </si>
  <si>
    <t>VAT due in this period on acquisitions from other EC member states.</t>
  </si>
  <si>
    <t>Total VAT due (i.e., 1 + 2).</t>
  </si>
  <si>
    <t>VAT reclaimed in this period on purchases and other inputs (incl. acquisitions from the EC).</t>
  </si>
  <si>
    <t>Net VAT to be paid to customs or reclaimed by you (Difference between 3 and 4).</t>
  </si>
  <si>
    <t>minus means we get to reclaim this amount, normal means we need to pay that.</t>
  </si>
  <si>
    <t>Total value of sales and all other outputs excluding any VAT, include box 8 figures.</t>
  </si>
  <si>
    <t>Total value of purchases and all other inputs excluding any VAT, include box 9 figures.</t>
  </si>
  <si>
    <t>Total value of all supplies of goods and related services excluding any VAT, to other member states.</t>
  </si>
  <si>
    <t>N/A</t>
  </si>
  <si>
    <t>Total value of all acquisition of goods and related services excluding any VAT, from other EC member states.</t>
  </si>
  <si>
    <t>We get these from the accounts within the ledgers:</t>
  </si>
  <si>
    <t>Output VAT</t>
  </si>
  <si>
    <t>Value of Output</t>
  </si>
  <si>
    <t>Box 1 &amp; 3</t>
  </si>
  <si>
    <t>Box 6</t>
  </si>
  <si>
    <t>Total:</t>
  </si>
  <si>
    <t>Input VAT</t>
  </si>
  <si>
    <t>Value of Input</t>
  </si>
  <si>
    <t>Box 4</t>
  </si>
  <si>
    <t>Box 7</t>
  </si>
  <si>
    <t>*the output/input VAT is the VAT amounts on the accounts here.</t>
  </si>
  <si>
    <t>*the value of output/inout is the Net amounts on the accounts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</si>
</sst>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£-809]#,##0.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6"/>
      <color theme="1"/>
      <name val="Calibri"/>
      <family val="2"/>
      <scheme val="minor"/>
    </font>
    <font>
      <sz val="11"/>
      <color theme="1"/>
      <name val="Aptos"/>
    </font>
    <font>
      <b/>
      <sz val="11"/>
      <color theme="1"/>
      <name val="Aptos"/>
    </font>
    <font>
      <sz val="11"/>
      <color rgb="FF000000"/>
      <name val="Aptos"/>
    </font>
    <font>
      <sz val="11"/>
      <name val="Aptos"/>
    </font>
    <font>
      <i/>
      <sz val="11"/>
      <name val="Aptos"/>
    </font>
    <font>
      <b/>
      <sz val="11"/>
      <name val="Aptos"/>
    </font>
    <font>
      <b/>
      <sz val="11"/>
      <color rgb="FF000000"/>
      <name val="Aptos"/>
    </font>
    <font>
      <sz val="11"/>
      <color rgb="FFFF0000"/>
      <name val="Aptos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2">
    <xf numFmtId="0" fontId="0" fillId="0" borderId="0" xfId="0"/>
    <xf numFmtId="0" fontId="0" fillId="0" borderId="0" xfId="0" applyAlignment="1">
      <alignment horizontal="center"/>
    </xf>
    <xf numFmtId="40" fontId="0" fillId="0" borderId="25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40" fontId="5" fillId="0" borderId="0" xfId="0" applyNumberFormat="1" applyFont="1" applyAlignment="1">
      <alignment horizontal="center"/>
    </xf>
    <xf numFmtId="0" fontId="6" fillId="0" borderId="0" xfId="0" applyFont="1"/>
    <xf numFmtId="40" fontId="5" fillId="0" borderId="14" xfId="0" applyNumberFormat="1" applyFont="1" applyBorder="1" applyAlignment="1">
      <alignment horizontal="center"/>
    </xf>
    <xf numFmtId="40" fontId="5" fillId="0" borderId="13" xfId="0" applyNumberFormat="1" applyFont="1" applyBorder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0" fontId="5" fillId="0" borderId="1" xfId="0" applyNumberFormat="1" applyFont="1" applyBorder="1" applyAlignment="1">
      <alignment horizontal="center"/>
    </xf>
    <xf numFmtId="40" fontId="5" fillId="0" borderId="3" xfId="0" applyNumberFormat="1" applyFont="1" applyBorder="1" applyAlignment="1">
      <alignment horizontal="center"/>
    </xf>
    <xf numFmtId="0" fontId="5" fillId="0" borderId="14" xfId="0" applyFont="1" applyBorder="1"/>
    <xf numFmtId="0" fontId="6" fillId="0" borderId="8" xfId="0" applyFont="1" applyBorder="1"/>
    <xf numFmtId="40" fontId="5" fillId="0" borderId="11" xfId="0" applyNumberFormat="1" applyFont="1" applyBorder="1" applyAlignment="1">
      <alignment horizontal="center"/>
    </xf>
    <xf numFmtId="40" fontId="5" fillId="0" borderId="9" xfId="0" applyNumberFormat="1" applyFont="1" applyBorder="1" applyAlignment="1">
      <alignment horizontal="center"/>
    </xf>
    <xf numFmtId="0" fontId="5" fillId="0" borderId="23" xfId="0" applyFont="1" applyBorder="1"/>
    <xf numFmtId="40" fontId="5" fillId="0" borderId="23" xfId="0" applyNumberFormat="1" applyFont="1" applyBorder="1" applyAlignment="1">
      <alignment horizontal="center"/>
    </xf>
    <xf numFmtId="0" fontId="7" fillId="0" borderId="0" xfId="0" applyFont="1"/>
    <xf numFmtId="0" fontId="5" fillId="0" borderId="13" xfId="0" applyFont="1" applyBorder="1"/>
    <xf numFmtId="0" fontId="5" fillId="0" borderId="0" xfId="0" applyFont="1" applyAlignment="1">
      <alignment horizontal="left"/>
    </xf>
    <xf numFmtId="0" fontId="6" fillId="0" borderId="10" xfId="0" applyFont="1" applyBorder="1"/>
    <xf numFmtId="40" fontId="5" fillId="0" borderId="2" xfId="0" applyNumberFormat="1" applyFont="1" applyBorder="1" applyAlignment="1">
      <alignment horizontal="center"/>
    </xf>
    <xf numFmtId="40" fontId="5" fillId="0" borderId="4" xfId="0" applyNumberFormat="1" applyFont="1" applyBorder="1" applyAlignment="1">
      <alignment horizontal="center"/>
    </xf>
    <xf numFmtId="40" fontId="6" fillId="0" borderId="6" xfId="0" applyNumberFormat="1" applyFont="1" applyBorder="1" applyAlignment="1">
      <alignment horizontal="center"/>
    </xf>
    <xf numFmtId="40" fontId="6" fillId="0" borderId="5" xfId="0" applyNumberFormat="1" applyFont="1" applyBorder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40" fontId="5" fillId="0" borderId="0" xfId="1" applyNumberFormat="1" applyFont="1" applyAlignment="1">
      <alignment horizontal="center"/>
    </xf>
    <xf numFmtId="40" fontId="5" fillId="0" borderId="13" xfId="1" applyNumberFormat="1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40" fontId="5" fillId="0" borderId="14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top"/>
    </xf>
    <xf numFmtId="0" fontId="10" fillId="0" borderId="13" xfId="0" applyFont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9" fillId="0" borderId="0" xfId="0" applyFont="1"/>
    <xf numFmtId="0" fontId="11" fillId="0" borderId="13" xfId="0" applyFont="1" applyBorder="1" applyAlignment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0" fontId="5" fillId="0" borderId="20" xfId="0" applyNumberFormat="1" applyFont="1" applyBorder="1" applyAlignment="1">
      <alignment horizontal="center"/>
    </xf>
    <xf numFmtId="40" fontId="7" fillId="0" borderId="20" xfId="0" applyNumberFormat="1" applyFont="1" applyBorder="1" applyAlignment="1">
      <alignment horizontal="center"/>
    </xf>
    <xf numFmtId="40" fontId="12" fillId="0" borderId="0" xfId="0" applyNumberFormat="1" applyFont="1" applyAlignment="1">
      <alignment horizontal="center"/>
    </xf>
    <xf numFmtId="40" fontId="0" fillId="0" borderId="0" xfId="0" applyNumberFormat="1"/>
    <xf numFmtId="16" fontId="5" fillId="0" borderId="22" xfId="0" applyNumberFormat="1" applyFont="1" applyBorder="1" applyAlignment="1">
      <alignment horizontal="center" vertical="center"/>
    </xf>
    <xf numFmtId="16" fontId="0" fillId="0" borderId="19" xfId="0" applyNumberFormat="1" applyBorder="1" applyAlignment="1">
      <alignment horizontal="center" vertical="center"/>
    </xf>
    <xf numFmtId="16" fontId="0" fillId="0" borderId="22" xfId="0" applyNumberFormat="1" applyBorder="1" applyAlignment="1">
      <alignment horizontal="center" vertical="center"/>
    </xf>
    <xf numFmtId="40" fontId="0" fillId="0" borderId="0" xfId="0" applyNumberFormat="1" applyAlignment="1">
      <alignment horizontal="center"/>
    </xf>
    <xf numFmtId="0" fontId="0" fillId="0" borderId="14" xfId="0" applyBorder="1"/>
    <xf numFmtId="0" fontId="0" fillId="0" borderId="19" xfId="0" applyBorder="1" applyAlignment="1">
      <alignment horizontal="center"/>
    </xf>
    <xf numFmtId="40" fontId="0" fillId="0" borderId="13" xfId="0" applyNumberFormat="1" applyBorder="1" applyAlignment="1">
      <alignment horizontal="center"/>
    </xf>
    <xf numFmtId="0" fontId="0" fillId="0" borderId="13" xfId="0" applyBorder="1"/>
    <xf numFmtId="40" fontId="0" fillId="0" borderId="13" xfId="0" applyNumberFormat="1" applyBorder="1" applyAlignment="1">
      <alignment horizontal="center" vertical="center"/>
    </xf>
    <xf numFmtId="40" fontId="0" fillId="0" borderId="14" xfId="0" applyNumberFormat="1" applyBorder="1" applyAlignment="1">
      <alignment horizontal="center"/>
    </xf>
    <xf numFmtId="40" fontId="0" fillId="0" borderId="24" xfId="0" applyNumberFormat="1" applyBorder="1" applyAlignment="1">
      <alignment horizontal="center" vertical="center"/>
    </xf>
    <xf numFmtId="40" fontId="0" fillId="0" borderId="25" xfId="0" applyNumberFormat="1" applyBorder="1" applyAlignment="1">
      <alignment horizontal="center" vertical="center"/>
    </xf>
    <xf numFmtId="40" fontId="0" fillId="0" borderId="2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/>
    <xf numFmtId="40" fontId="0" fillId="0" borderId="23" xfId="0" applyNumberFormat="1" applyBorder="1" applyAlignment="1">
      <alignment horizontal="center"/>
    </xf>
    <xf numFmtId="0" fontId="0" fillId="0" borderId="24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" fontId="0" fillId="0" borderId="12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40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0" fillId="0" borderId="28" xfId="0" applyBorder="1"/>
    <xf numFmtId="40" fontId="0" fillId="0" borderId="28" xfId="0" applyNumberFormat="1" applyBorder="1" applyAlignment="1">
      <alignment horizontal="center" vertical="center"/>
    </xf>
    <xf numFmtId="40" fontId="0" fillId="0" borderId="30" xfId="0" applyNumberFormat="1" applyBorder="1" applyAlignment="1">
      <alignment horizontal="center" vertical="center"/>
    </xf>
    <xf numFmtId="40" fontId="0" fillId="0" borderId="38" xfId="0" applyNumberFormat="1" applyBorder="1" applyAlignment="1">
      <alignment horizontal="center" vertical="center"/>
    </xf>
    <xf numFmtId="40" fontId="0" fillId="0" borderId="31" xfId="0" applyNumberFormat="1" applyBorder="1" applyAlignment="1">
      <alignment horizontal="center" vertical="center"/>
    </xf>
    <xf numFmtId="40" fontId="0" fillId="0" borderId="39" xfId="0" applyNumberForma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40" fontId="0" fillId="0" borderId="45" xfId="0" applyNumberFormat="1" applyBorder="1" applyAlignment="1">
      <alignment horizontal="center"/>
    </xf>
    <xf numFmtId="40" fontId="0" fillId="0" borderId="38" xfId="0" applyNumberFormat="1" applyBorder="1" applyAlignment="1">
      <alignment horizontal="center"/>
    </xf>
    <xf numFmtId="40" fontId="0" fillId="0" borderId="31" xfId="0" applyNumberFormat="1" applyBorder="1" applyAlignment="1">
      <alignment horizontal="center"/>
    </xf>
    <xf numFmtId="40" fontId="0" fillId="0" borderId="39" xfId="0" applyNumberFormat="1" applyBorder="1" applyAlignment="1">
      <alignment horizontal="center"/>
    </xf>
    <xf numFmtId="40" fontId="0" fillId="0" borderId="41" xfId="0" applyNumberFormat="1" applyBorder="1" applyAlignment="1">
      <alignment horizontal="center"/>
    </xf>
    <xf numFmtId="0" fontId="0" fillId="0" borderId="31" xfId="0" applyBorder="1"/>
    <xf numFmtId="0" fontId="2" fillId="0" borderId="3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40" fontId="2" fillId="0" borderId="46" xfId="0" applyNumberFormat="1" applyFont="1" applyBorder="1" applyAlignment="1">
      <alignment horizontal="center"/>
    </xf>
    <xf numFmtId="40" fontId="2" fillId="0" borderId="36" xfId="0" applyNumberFormat="1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40" fontId="2" fillId="0" borderId="48" xfId="0" applyNumberFormat="1" applyFont="1" applyBorder="1" applyAlignment="1">
      <alignment horizontal="center"/>
    </xf>
    <xf numFmtId="40" fontId="0" fillId="0" borderId="49" xfId="0" applyNumberFormat="1" applyBorder="1" applyAlignment="1">
      <alignment horizontal="center"/>
    </xf>
    <xf numFmtId="40" fontId="0" fillId="0" borderId="32" xfId="0" applyNumberFormat="1" applyBorder="1" applyAlignment="1">
      <alignment horizontal="center"/>
    </xf>
    <xf numFmtId="40" fontId="0" fillId="0" borderId="46" xfId="0" applyNumberFormat="1" applyBorder="1" applyAlignment="1">
      <alignment horizontal="center"/>
    </xf>
    <xf numFmtId="40" fontId="0" fillId="0" borderId="36" xfId="0" applyNumberFormat="1" applyBorder="1" applyAlignment="1">
      <alignment horizontal="center"/>
    </xf>
    <xf numFmtId="40" fontId="0" fillId="0" borderId="17" xfId="0" applyNumberFormat="1" applyBorder="1" applyAlignment="1">
      <alignment horizontal="center"/>
    </xf>
    <xf numFmtId="0" fontId="0" fillId="0" borderId="50" xfId="0" applyBorder="1"/>
    <xf numFmtId="0" fontId="2" fillId="0" borderId="0" xfId="0" applyFont="1"/>
    <xf numFmtId="0" fontId="0" fillId="0" borderId="0" xfId="0" applyAlignment="1">
      <alignment vertical="center" textRotation="90"/>
    </xf>
    <xf numFmtId="40" fontId="6" fillId="0" borderId="13" xfId="0" applyNumberFormat="1" applyFont="1" applyBorder="1" applyAlignment="1">
      <alignment horizontal="center"/>
    </xf>
    <xf numFmtId="40" fontId="5" fillId="0" borderId="0" xfId="1" applyNumberFormat="1" applyFont="1" applyFill="1" applyAlignment="1">
      <alignment horizontal="center"/>
    </xf>
    <xf numFmtId="16" fontId="0" fillId="0" borderId="33" xfId="0" applyNumberFormat="1" applyBorder="1" applyAlignment="1">
      <alignment horizontal="center"/>
    </xf>
    <xf numFmtId="16" fontId="0" fillId="0" borderId="37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0" xfId="0" applyBorder="1" applyAlignment="1">
      <alignment horizontal="center"/>
    </xf>
    <xf numFmtId="16" fontId="0" fillId="0" borderId="35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16" fontId="0" fillId="0" borderId="27" xfId="0" applyNumberFormat="1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5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7" fillId="0" borderId="13" xfId="0" applyFont="1" applyBorder="1" applyAlignment="1">
      <alignment horizontal="left" vertical="center"/>
    </xf>
    <xf numFmtId="40" fontId="6" fillId="0" borderId="0" xfId="0" applyNumberFormat="1" applyFont="1" applyAlignment="1">
      <alignment horizontal="center"/>
    </xf>
    <xf numFmtId="0" fontId="6" fillId="0" borderId="14" xfId="0" applyFont="1" applyBorder="1" applyAlignment="1">
      <alignment horizontal="center" vertical="center"/>
    </xf>
    <xf numFmtId="40" fontId="6" fillId="0" borderId="14" xfId="0" applyNumberFormat="1" applyFont="1" applyBorder="1" applyAlignment="1">
      <alignment horizontal="center"/>
    </xf>
    <xf numFmtId="40" fontId="6" fillId="0" borderId="0" xfId="1" applyNumberFormat="1" applyFont="1" applyAlignment="1">
      <alignment horizontal="center"/>
    </xf>
    <xf numFmtId="40" fontId="6" fillId="0" borderId="0" xfId="1" applyNumberFormat="1" applyFont="1" applyFill="1" applyAlignment="1">
      <alignment horizontal="center"/>
    </xf>
    <xf numFmtId="16" fontId="5" fillId="0" borderId="27" xfId="0" applyNumberFormat="1" applyFont="1" applyBorder="1" applyAlignment="1">
      <alignment horizontal="center"/>
    </xf>
    <xf numFmtId="0" fontId="5" fillId="0" borderId="28" xfId="0" applyFont="1" applyBorder="1"/>
    <xf numFmtId="40" fontId="5" fillId="0" borderId="28" xfId="0" applyNumberFormat="1" applyFont="1" applyBorder="1" applyAlignment="1">
      <alignment horizontal="center"/>
    </xf>
    <xf numFmtId="40" fontId="5" fillId="0" borderId="30" xfId="0" applyNumberFormat="1" applyFont="1" applyBorder="1" applyAlignment="1">
      <alignment horizontal="center"/>
    </xf>
    <xf numFmtId="16" fontId="5" fillId="0" borderId="40" xfId="0" applyNumberFormat="1" applyFont="1" applyBorder="1" applyAlignment="1">
      <alignment horizontal="center"/>
    </xf>
    <xf numFmtId="40" fontId="5" fillId="0" borderId="41" xfId="0" applyNumberFormat="1" applyFont="1" applyBorder="1" applyAlignment="1">
      <alignment horizontal="center"/>
    </xf>
    <xf numFmtId="16" fontId="5" fillId="0" borderId="51" xfId="0" applyNumberFormat="1" applyFont="1" applyBorder="1" applyAlignment="1">
      <alignment horizontal="center"/>
    </xf>
    <xf numFmtId="0" fontId="5" fillId="0" borderId="24" xfId="0" applyFont="1" applyBorder="1"/>
    <xf numFmtId="40" fontId="5" fillId="0" borderId="24" xfId="0" applyNumberFormat="1" applyFont="1" applyBorder="1" applyAlignment="1">
      <alignment horizontal="center"/>
    </xf>
    <xf numFmtId="40" fontId="6" fillId="0" borderId="31" xfId="0" applyNumberFormat="1" applyFont="1" applyBorder="1" applyAlignment="1">
      <alignment horizontal="center"/>
    </xf>
    <xf numFmtId="40" fontId="6" fillId="0" borderId="23" xfId="0" applyNumberFormat="1" applyFont="1" applyBorder="1" applyAlignment="1">
      <alignment horizontal="center"/>
    </xf>
    <xf numFmtId="40" fontId="6" fillId="0" borderId="28" xfId="0" applyNumberFormat="1" applyFont="1" applyBorder="1" applyAlignment="1">
      <alignment horizontal="center"/>
    </xf>
    <xf numFmtId="40" fontId="6" fillId="0" borderId="30" xfId="0" applyNumberFormat="1" applyFont="1" applyBorder="1" applyAlignment="1">
      <alignment horizontal="center"/>
    </xf>
    <xf numFmtId="0" fontId="6" fillId="0" borderId="5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40" fontId="6" fillId="0" borderId="24" xfId="0" applyNumberFormat="1" applyFont="1" applyBorder="1" applyAlignment="1">
      <alignment horizontal="center"/>
    </xf>
    <xf numFmtId="16" fontId="5" fillId="0" borderId="33" xfId="0" applyNumberFormat="1" applyFont="1" applyBorder="1" applyAlignment="1">
      <alignment horizontal="center"/>
    </xf>
    <xf numFmtId="40" fontId="5" fillId="0" borderId="45" xfId="0" applyNumberFormat="1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33" xfId="0" applyFont="1" applyBorder="1" applyAlignment="1">
      <alignment horizontal="center" vertical="center"/>
    </xf>
    <xf numFmtId="16" fontId="5" fillId="0" borderId="37" xfId="0" applyNumberFormat="1" applyFont="1" applyBorder="1" applyAlignment="1">
      <alignment horizontal="center"/>
    </xf>
    <xf numFmtId="40" fontId="5" fillId="0" borderId="38" xfId="0" applyNumberFormat="1" applyFont="1" applyBorder="1" applyAlignment="1">
      <alignment horizontal="center"/>
    </xf>
    <xf numFmtId="16" fontId="5" fillId="0" borderId="37" xfId="0" applyNumberFormat="1" applyFont="1" applyBorder="1" applyAlignment="1">
      <alignment horizontal="center" vertical="center"/>
    </xf>
    <xf numFmtId="40" fontId="5" fillId="0" borderId="38" xfId="1" applyNumberFormat="1" applyFont="1" applyFill="1" applyBorder="1" applyAlignment="1">
      <alignment horizontal="center" vertical="center"/>
    </xf>
    <xf numFmtId="16" fontId="5" fillId="0" borderId="51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40" fontId="5" fillId="0" borderId="24" xfId="1" applyNumberFormat="1" applyFont="1" applyBorder="1" applyAlignment="1">
      <alignment horizontal="center" vertical="center"/>
    </xf>
    <xf numFmtId="40" fontId="6" fillId="0" borderId="31" xfId="1" applyNumberFormat="1" applyFont="1" applyFill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40" fontId="6" fillId="0" borderId="29" xfId="1" applyNumberFormat="1" applyFont="1" applyBorder="1" applyAlignment="1">
      <alignment horizontal="center" vertical="center"/>
    </xf>
    <xf numFmtId="40" fontId="6" fillId="0" borderId="28" xfId="1" applyNumberFormat="1" applyFont="1" applyBorder="1" applyAlignment="1">
      <alignment horizontal="center" vertical="center"/>
    </xf>
    <xf numFmtId="40" fontId="6" fillId="0" borderId="30" xfId="1" applyNumberFormat="1" applyFont="1" applyFill="1" applyBorder="1" applyAlignment="1">
      <alignment horizontal="center" vertical="center"/>
    </xf>
    <xf numFmtId="40" fontId="6" fillId="0" borderId="53" xfId="1" applyNumberFormat="1" applyFont="1" applyBorder="1" applyAlignment="1">
      <alignment horizontal="center" vertical="center"/>
    </xf>
    <xf numFmtId="40" fontId="6" fillId="0" borderId="24" xfId="1" applyNumberFormat="1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16" fontId="5" fillId="0" borderId="43" xfId="0" applyNumberFormat="1" applyFont="1" applyBorder="1" applyAlignment="1">
      <alignment horizontal="center" vertical="center"/>
    </xf>
    <xf numFmtId="0" fontId="5" fillId="0" borderId="50" xfId="0" applyFont="1" applyBorder="1" applyAlignment="1">
      <alignment vertical="center"/>
    </xf>
    <xf numFmtId="40" fontId="5" fillId="0" borderId="50" xfId="1" applyNumberFormat="1" applyFont="1" applyBorder="1" applyAlignment="1">
      <alignment horizontal="center" vertical="center"/>
    </xf>
    <xf numFmtId="40" fontId="6" fillId="0" borderId="44" xfId="1" applyNumberFormat="1" applyFont="1" applyFill="1" applyBorder="1" applyAlignment="1">
      <alignment horizontal="center" vertical="center"/>
    </xf>
    <xf numFmtId="16" fontId="5" fillId="0" borderId="33" xfId="0" applyNumberFormat="1" applyFont="1" applyBorder="1" applyAlignment="1">
      <alignment horizontal="center" vertical="center"/>
    </xf>
    <xf numFmtId="40" fontId="5" fillId="0" borderId="45" xfId="1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0" borderId="5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0" fontId="6" fillId="0" borderId="14" xfId="1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0" fillId="0" borderId="46" xfId="0" applyBorder="1" applyAlignment="1">
      <alignment horizontal="right"/>
    </xf>
    <xf numFmtId="0" fontId="0" fillId="0" borderId="6" xfId="0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B1" workbookViewId="0">
      <selection activeCell="J14" sqref="J14"/>
    </sheetView>
  </sheetViews>
  <sheetFormatPr defaultRowHeight="15"/>
  <sheetData>
    <row r="1" spans="1:8">
      <c r="A1" s="5" t="s">
        <v>0</v>
      </c>
      <c r="B1" s="5"/>
      <c r="C1" s="5"/>
      <c r="D1" s="5"/>
    </row>
    <row r="2" spans="1:8">
      <c r="A2" s="5" t="s">
        <v>1</v>
      </c>
      <c r="B2" s="5"/>
      <c r="C2" s="5"/>
      <c r="D2" s="5"/>
    </row>
    <row r="3" spans="1:8">
      <c r="A3" s="5"/>
      <c r="B3" s="5"/>
      <c r="C3" s="5"/>
      <c r="D3" s="5"/>
    </row>
    <row r="4" spans="1:8">
      <c r="A4" s="5" t="s">
        <v>2</v>
      </c>
      <c r="B4" s="5"/>
      <c r="C4" s="5"/>
      <c r="D4" s="5"/>
    </row>
    <row r="5" spans="1:8">
      <c r="A5" s="5" t="s">
        <v>3</v>
      </c>
      <c r="B5" s="5"/>
      <c r="C5" s="5"/>
      <c r="D5" s="5"/>
    </row>
    <row r="6" spans="1:8">
      <c r="A6" s="5"/>
      <c r="B6" s="5"/>
      <c r="C6" s="5"/>
      <c r="D6" s="5"/>
    </row>
    <row r="7" spans="1:8">
      <c r="A7" s="5" t="s">
        <v>4</v>
      </c>
      <c r="B7" s="5"/>
      <c r="C7" s="5"/>
      <c r="D7" s="5"/>
    </row>
    <row r="8" spans="1:8">
      <c r="A8" s="5" t="s">
        <v>5</v>
      </c>
      <c r="B8" s="5"/>
      <c r="C8" s="5"/>
      <c r="D8" s="5"/>
    </row>
    <row r="9" spans="1:8">
      <c r="A9" s="5" t="s">
        <v>6</v>
      </c>
      <c r="B9" s="5"/>
      <c r="C9" s="5"/>
      <c r="D9" s="5"/>
    </row>
    <row r="10" spans="1:8">
      <c r="A10" s="5"/>
      <c r="B10" s="5"/>
      <c r="C10" s="5"/>
      <c r="D10" s="5"/>
    </row>
    <row r="11" spans="1:8">
      <c r="A11" s="5" t="s">
        <v>7</v>
      </c>
      <c r="B11" s="5"/>
      <c r="C11" s="5"/>
      <c r="D11" s="5"/>
    </row>
    <row r="12" spans="1:8">
      <c r="A12" s="5" t="s">
        <v>8</v>
      </c>
      <c r="B12" s="5"/>
      <c r="C12" s="5"/>
      <c r="D12" s="5"/>
    </row>
    <row r="13" spans="1:8">
      <c r="A13" s="5"/>
      <c r="B13" s="5"/>
      <c r="C13" s="5"/>
      <c r="D13" s="5"/>
    </row>
    <row r="14" spans="1:8">
      <c r="A14" s="7" t="s">
        <v>9</v>
      </c>
      <c r="B14" s="5"/>
      <c r="C14" s="5"/>
      <c r="D14" s="5"/>
    </row>
    <row r="15" spans="1:8">
      <c r="A15" s="7"/>
      <c r="B15" s="5"/>
      <c r="C15" s="5"/>
      <c r="D15" s="5"/>
    </row>
    <row r="16" spans="1:8" ht="28.5" customHeight="1">
      <c r="A16" s="54">
        <v>46174</v>
      </c>
      <c r="B16" s="125" t="s">
        <v>10</v>
      </c>
      <c r="C16" s="125"/>
      <c r="D16" s="125"/>
      <c r="E16" s="125"/>
      <c r="F16" s="125"/>
      <c r="G16" s="125"/>
      <c r="H16" s="125"/>
    </row>
    <row r="17" spans="1:8" ht="49.5" customHeight="1">
      <c r="A17" s="55">
        <v>45809</v>
      </c>
      <c r="B17" s="124" t="s">
        <v>11</v>
      </c>
      <c r="C17" s="124"/>
      <c r="D17" s="124"/>
      <c r="E17" s="124"/>
      <c r="F17" s="124"/>
      <c r="G17" s="124"/>
      <c r="H17" s="124"/>
    </row>
    <row r="18" spans="1:8" ht="16.5" customHeight="1">
      <c r="A18" s="56">
        <v>45809</v>
      </c>
      <c r="B18" s="124" t="s">
        <v>12</v>
      </c>
      <c r="C18" s="124"/>
      <c r="D18" s="124"/>
      <c r="E18" s="124"/>
      <c r="F18" s="124"/>
      <c r="G18" s="124"/>
      <c r="H18" s="124"/>
    </row>
    <row r="19" spans="1:8" ht="32.25" customHeight="1">
      <c r="A19" s="56">
        <v>45810</v>
      </c>
      <c r="B19" s="124" t="s">
        <v>13</v>
      </c>
      <c r="C19" s="124"/>
      <c r="D19" s="124"/>
      <c r="E19" s="124"/>
      <c r="F19" s="124"/>
      <c r="G19" s="124"/>
      <c r="H19" s="124"/>
    </row>
    <row r="20" spans="1:8" ht="30" customHeight="1">
      <c r="A20" s="56">
        <v>45812</v>
      </c>
      <c r="B20" s="124" t="s">
        <v>14</v>
      </c>
      <c r="C20" s="124"/>
      <c r="D20" s="124"/>
      <c r="E20" s="124"/>
      <c r="F20" s="124"/>
      <c r="G20" s="124"/>
      <c r="H20" s="124"/>
    </row>
    <row r="21" spans="1:8" ht="30" customHeight="1">
      <c r="A21" s="56">
        <v>45813</v>
      </c>
      <c r="B21" s="124" t="s">
        <v>15</v>
      </c>
      <c r="C21" s="124"/>
      <c r="D21" s="124"/>
      <c r="E21" s="124"/>
      <c r="F21" s="124"/>
      <c r="G21" s="124"/>
      <c r="H21" s="124"/>
    </row>
    <row r="22" spans="1:8" ht="16.5" customHeight="1">
      <c r="A22" s="56">
        <v>45813</v>
      </c>
      <c r="B22" s="124" t="s">
        <v>16</v>
      </c>
      <c r="C22" s="124"/>
      <c r="D22" s="124"/>
      <c r="E22" s="124"/>
      <c r="F22" s="124"/>
      <c r="G22" s="124"/>
      <c r="H22" s="124"/>
    </row>
    <row r="23" spans="1:8" ht="17.25" customHeight="1">
      <c r="A23" s="56">
        <v>45815</v>
      </c>
      <c r="B23" s="123" t="s">
        <v>17</v>
      </c>
      <c r="C23" s="123"/>
      <c r="D23" s="123"/>
      <c r="E23" s="123"/>
      <c r="F23" s="123"/>
      <c r="G23" s="123"/>
      <c r="H23" s="123"/>
    </row>
    <row r="24" spans="1:8" ht="16.5" customHeight="1">
      <c r="A24" s="56">
        <v>45816</v>
      </c>
      <c r="B24" s="123" t="s">
        <v>18</v>
      </c>
      <c r="C24" s="123"/>
      <c r="D24" s="123"/>
      <c r="E24" s="123"/>
      <c r="F24" s="123"/>
      <c r="G24" s="123"/>
      <c r="H24" s="123"/>
    </row>
    <row r="25" spans="1:8" ht="28.5" customHeight="1">
      <c r="A25" s="56">
        <v>45820</v>
      </c>
      <c r="B25" s="123" t="s">
        <v>19</v>
      </c>
      <c r="C25" s="123"/>
      <c r="D25" s="123"/>
      <c r="E25" s="123"/>
      <c r="F25" s="123"/>
      <c r="G25" s="123"/>
      <c r="H25" s="123"/>
    </row>
    <row r="26" spans="1:8" ht="34.5" customHeight="1">
      <c r="A26" s="56">
        <v>45822</v>
      </c>
      <c r="B26" s="123" t="s">
        <v>20</v>
      </c>
      <c r="C26" s="123"/>
      <c r="D26" s="123"/>
      <c r="E26" s="123"/>
      <c r="F26" s="123"/>
      <c r="G26" s="123"/>
      <c r="H26" s="123"/>
    </row>
    <row r="27" spans="1:8" ht="37.5" customHeight="1">
      <c r="A27" s="56">
        <v>45823</v>
      </c>
      <c r="B27" s="123" t="s">
        <v>21</v>
      </c>
      <c r="C27" s="123"/>
      <c r="D27" s="123"/>
      <c r="E27" s="123"/>
      <c r="F27" s="123"/>
      <c r="G27" s="123"/>
      <c r="H27" s="123"/>
    </row>
    <row r="28" spans="1:8" ht="16.5" customHeight="1">
      <c r="A28" s="56">
        <v>45828</v>
      </c>
      <c r="B28" s="123" t="s">
        <v>22</v>
      </c>
      <c r="C28" s="123"/>
      <c r="D28" s="123"/>
      <c r="E28" s="123"/>
      <c r="F28" s="123"/>
      <c r="G28" s="123"/>
      <c r="H28" s="123"/>
    </row>
    <row r="29" spans="1:8" ht="16.5" customHeight="1">
      <c r="A29" s="56">
        <v>45829</v>
      </c>
      <c r="B29" s="123" t="s">
        <v>23</v>
      </c>
      <c r="C29" s="123"/>
      <c r="D29" s="123"/>
      <c r="E29" s="123"/>
      <c r="F29" s="123"/>
      <c r="G29" s="123"/>
      <c r="H29" s="123"/>
    </row>
    <row r="30" spans="1:8" ht="36" customHeight="1">
      <c r="A30" s="56">
        <v>45832</v>
      </c>
      <c r="B30" s="123" t="s">
        <v>24</v>
      </c>
      <c r="C30" s="123"/>
      <c r="D30" s="123"/>
      <c r="E30" s="123"/>
      <c r="F30" s="123"/>
      <c r="G30" s="123"/>
      <c r="H30" s="123"/>
    </row>
    <row r="31" spans="1:8" ht="16.5" customHeight="1">
      <c r="A31" s="56">
        <v>45832</v>
      </c>
      <c r="B31" s="123" t="s">
        <v>25</v>
      </c>
      <c r="C31" s="123"/>
      <c r="D31" s="123"/>
      <c r="E31" s="123"/>
      <c r="F31" s="123"/>
      <c r="G31" s="123"/>
      <c r="H31" s="123"/>
    </row>
    <row r="32" spans="1:8" ht="15" customHeight="1">
      <c r="A32" s="56">
        <v>45832</v>
      </c>
      <c r="B32" s="123" t="s">
        <v>26</v>
      </c>
      <c r="C32" s="123"/>
      <c r="D32" s="123"/>
      <c r="E32" s="123"/>
      <c r="F32" s="123"/>
      <c r="G32" s="123"/>
      <c r="H32" s="123"/>
    </row>
    <row r="33" spans="1:8" ht="28.5" customHeight="1">
      <c r="A33" s="56">
        <v>45834</v>
      </c>
      <c r="B33" s="123" t="s">
        <v>27</v>
      </c>
      <c r="C33" s="123"/>
      <c r="D33" s="123"/>
      <c r="E33" s="123"/>
      <c r="F33" s="123"/>
      <c r="G33" s="123"/>
      <c r="H33" s="123"/>
    </row>
    <row r="34" spans="1:8" ht="30" customHeight="1">
      <c r="A34" s="56">
        <v>45834</v>
      </c>
      <c r="B34" s="123" t="s">
        <v>28</v>
      </c>
      <c r="C34" s="123"/>
      <c r="D34" s="123"/>
      <c r="E34" s="123"/>
      <c r="F34" s="123"/>
      <c r="G34" s="123"/>
      <c r="H34" s="123"/>
    </row>
    <row r="35" spans="1:8" ht="35.25" customHeight="1">
      <c r="A35" s="56">
        <v>45835</v>
      </c>
      <c r="B35" s="123" t="s">
        <v>29</v>
      </c>
      <c r="C35" s="123"/>
      <c r="D35" s="123"/>
      <c r="E35" s="123"/>
      <c r="F35" s="123"/>
      <c r="G35" s="123"/>
      <c r="H35" s="123"/>
    </row>
    <row r="36" spans="1:8" ht="18.75" customHeight="1">
      <c r="A36" s="56">
        <v>45836</v>
      </c>
      <c r="B36" s="123" t="s">
        <v>30</v>
      </c>
      <c r="C36" s="123"/>
      <c r="D36" s="123"/>
      <c r="E36" s="123"/>
      <c r="F36" s="123"/>
      <c r="G36" s="123"/>
      <c r="H36" s="123"/>
    </row>
    <row r="37" spans="1:8" ht="32.25" customHeight="1">
      <c r="A37" s="56">
        <v>45836</v>
      </c>
      <c r="B37" s="123" t="s">
        <v>31</v>
      </c>
      <c r="C37" s="123"/>
      <c r="D37" s="123"/>
      <c r="E37" s="123"/>
      <c r="F37" s="123"/>
      <c r="G37" s="123"/>
      <c r="H37" s="123"/>
    </row>
    <row r="38" spans="1:8" ht="32.25" customHeight="1">
      <c r="A38" s="56">
        <v>45838</v>
      </c>
      <c r="B38" s="123" t="s">
        <v>32</v>
      </c>
      <c r="C38" s="123"/>
      <c r="D38" s="123"/>
      <c r="E38" s="123"/>
      <c r="F38" s="123"/>
      <c r="G38" s="123"/>
      <c r="H38" s="123"/>
    </row>
    <row r="39" spans="1:8">
      <c r="A39" s="5"/>
      <c r="B39" s="5"/>
      <c r="C39" s="5"/>
      <c r="D39" s="5"/>
    </row>
  </sheetData>
  <mergeCells count="23">
    <mergeCell ref="B21:H21"/>
    <mergeCell ref="B16:H16"/>
    <mergeCell ref="B17:H17"/>
    <mergeCell ref="B18:H18"/>
    <mergeCell ref="B19:H19"/>
    <mergeCell ref="B20:H20"/>
    <mergeCell ref="B33:H33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4:H34"/>
    <mergeCell ref="B35:H35"/>
    <mergeCell ref="B36:H36"/>
    <mergeCell ref="B37:H37"/>
    <mergeCell ref="B38:H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O51"/>
  <sheetViews>
    <sheetView topLeftCell="A9" zoomScale="70" zoomScaleNormal="70" workbookViewId="0">
      <selection activeCell="O32" sqref="O32"/>
    </sheetView>
  </sheetViews>
  <sheetFormatPr defaultColWidth="8.5703125" defaultRowHeight="15"/>
  <cols>
    <col min="1" max="1" width="4.7109375" customWidth="1"/>
    <col min="2" max="2" width="6.85546875" bestFit="1" customWidth="1"/>
    <col min="3" max="3" width="18.140625" bestFit="1" customWidth="1"/>
    <col min="4" max="4" width="12.85546875" bestFit="1" customWidth="1"/>
    <col min="5" max="5" width="9.28515625" bestFit="1" customWidth="1"/>
    <col min="6" max="6" width="10.28515625" bestFit="1" customWidth="1"/>
    <col min="8" max="8" width="6.42578125" customWidth="1"/>
    <col min="9" max="9" width="16.7109375" bestFit="1" customWidth="1"/>
    <col min="10" max="10" width="10.28515625" bestFit="1" customWidth="1"/>
    <col min="11" max="11" width="9.28515625" bestFit="1" customWidth="1"/>
    <col min="12" max="12" width="10.28515625" bestFit="1" customWidth="1"/>
    <col min="14" max="14" width="6.85546875" bestFit="1" customWidth="1"/>
    <col min="15" max="15" width="20.140625" bestFit="1" customWidth="1"/>
    <col min="16" max="16" width="11.42578125" bestFit="1" customWidth="1"/>
    <col min="17" max="17" width="10.28515625" bestFit="1" customWidth="1"/>
    <col min="18" max="18" width="9.28515625" bestFit="1" customWidth="1"/>
    <col min="19" max="19" width="18.85546875" bestFit="1" customWidth="1"/>
    <col min="20" max="20" width="16.85546875" bestFit="1" customWidth="1"/>
    <col min="21" max="21" width="9.42578125" bestFit="1" customWidth="1"/>
    <col min="22" max="22" width="12.7109375" bestFit="1" customWidth="1"/>
    <col min="23" max="23" width="11.42578125" bestFit="1" customWidth="1"/>
    <col min="24" max="24" width="8.140625" bestFit="1" customWidth="1"/>
  </cols>
  <sheetData>
    <row r="1" spans="1:26">
      <c r="A1" s="3"/>
      <c r="Y1" s="57"/>
      <c r="Z1" s="57"/>
    </row>
    <row r="2" spans="1:26" ht="21">
      <c r="A2" s="3"/>
      <c r="B2" s="128" t="s">
        <v>33</v>
      </c>
      <c r="C2" s="128"/>
      <c r="D2" s="128"/>
      <c r="E2" s="128"/>
      <c r="F2" s="128"/>
      <c r="H2" s="128" t="s">
        <v>34</v>
      </c>
      <c r="I2" s="128"/>
      <c r="J2" s="128"/>
      <c r="K2" s="128"/>
      <c r="L2" s="128"/>
      <c r="N2" s="128" t="s">
        <v>35</v>
      </c>
      <c r="O2" s="128"/>
      <c r="P2" s="128"/>
      <c r="Q2" s="128"/>
      <c r="Y2" s="57"/>
      <c r="Z2" s="57"/>
    </row>
    <row r="3" spans="1:26">
      <c r="A3" s="3"/>
      <c r="Y3" s="57"/>
      <c r="Z3" s="57"/>
    </row>
    <row r="4" spans="1:26">
      <c r="B4" s="135" t="s">
        <v>36</v>
      </c>
      <c r="C4" s="136"/>
      <c r="D4" s="1" t="s">
        <v>37</v>
      </c>
      <c r="E4" s="1" t="s">
        <v>38</v>
      </c>
      <c r="F4" s="1" t="s">
        <v>38</v>
      </c>
      <c r="H4" s="135" t="s">
        <v>39</v>
      </c>
      <c r="I4" s="136"/>
      <c r="J4" s="1" t="s">
        <v>38</v>
      </c>
      <c r="K4" s="1" t="s">
        <v>37</v>
      </c>
      <c r="L4" s="1" t="s">
        <v>37</v>
      </c>
      <c r="N4" s="126" t="s">
        <v>40</v>
      </c>
      <c r="O4" s="127"/>
      <c r="P4" s="57" t="s">
        <v>41</v>
      </c>
      <c r="Q4" s="57" t="str">
        <f>P4</f>
        <v>Cr</v>
      </c>
      <c r="R4" s="57" t="str">
        <f>Q4</f>
        <v>Cr</v>
      </c>
      <c r="S4" s="57" t="str">
        <f>R4</f>
        <v>Cr</v>
      </c>
      <c r="T4" s="57" t="str">
        <f>S4</f>
        <v>Cr</v>
      </c>
      <c r="U4" s="57" t="str">
        <f>T4</f>
        <v>Cr</v>
      </c>
      <c r="V4" s="57"/>
      <c r="W4" s="57"/>
      <c r="X4" s="57"/>
      <c r="Y4" s="57"/>
      <c r="Z4" s="57"/>
    </row>
    <row r="5" spans="1:26">
      <c r="B5" s="131" t="s">
        <v>42</v>
      </c>
      <c r="C5" s="129" t="s">
        <v>43</v>
      </c>
      <c r="D5" s="79" t="s">
        <v>44</v>
      </c>
      <c r="E5" s="80" t="s">
        <v>45</v>
      </c>
      <c r="F5" s="81" t="s">
        <v>46</v>
      </c>
      <c r="H5" s="133" t="s">
        <v>42</v>
      </c>
      <c r="I5" s="129" t="s">
        <v>47</v>
      </c>
      <c r="J5" s="79" t="s">
        <v>44</v>
      </c>
      <c r="K5" s="80" t="s">
        <v>45</v>
      </c>
      <c r="L5" s="81" t="s">
        <v>46</v>
      </c>
      <c r="N5" s="99" t="s">
        <v>42</v>
      </c>
      <c r="O5" s="103" t="s">
        <v>48</v>
      </c>
      <c r="P5" s="101" t="s">
        <v>49</v>
      </c>
      <c r="Q5" s="104" t="s">
        <v>50</v>
      </c>
      <c r="R5" s="101" t="s">
        <v>45</v>
      </c>
      <c r="S5" s="101" t="s">
        <v>51</v>
      </c>
      <c r="T5" s="101" t="s">
        <v>52</v>
      </c>
      <c r="U5" s="102" t="s">
        <v>53</v>
      </c>
      <c r="V5" s="57"/>
      <c r="W5" s="57"/>
      <c r="X5" s="57"/>
      <c r="Y5" s="57"/>
      <c r="Z5" s="57"/>
    </row>
    <row r="6" spans="1:26">
      <c r="B6" s="132"/>
      <c r="C6" s="130"/>
      <c r="D6" s="89" t="s">
        <v>54</v>
      </c>
      <c r="E6" s="88" t="s">
        <v>54</v>
      </c>
      <c r="F6" s="90" t="s">
        <v>54</v>
      </c>
      <c r="H6" s="134"/>
      <c r="I6" s="130"/>
      <c r="J6" s="89" t="s">
        <v>54</v>
      </c>
      <c r="K6" s="88" t="s">
        <v>54</v>
      </c>
      <c r="L6" s="90" t="s">
        <v>54</v>
      </c>
      <c r="N6" s="115">
        <v>46174</v>
      </c>
      <c r="O6" s="58" t="s">
        <v>52</v>
      </c>
      <c r="P6" s="63">
        <v>100000</v>
      </c>
      <c r="Q6" s="63">
        <v>8000</v>
      </c>
      <c r="R6" s="63"/>
      <c r="S6" s="63"/>
      <c r="T6" s="63">
        <f>P6+Q6</f>
        <v>108000</v>
      </c>
      <c r="U6" s="93"/>
      <c r="V6" s="57"/>
      <c r="W6" s="57"/>
      <c r="X6" s="57"/>
      <c r="Y6" s="57"/>
      <c r="Z6" s="57"/>
    </row>
    <row r="7" spans="1:26">
      <c r="B7" s="122">
        <v>46178</v>
      </c>
      <c r="C7" s="82" t="s">
        <v>55</v>
      </c>
      <c r="D7" s="83">
        <v>5600</v>
      </c>
      <c r="E7" s="83">
        <f>D7/6</f>
        <v>933.33333333333337</v>
      </c>
      <c r="F7" s="84">
        <f>D7-E7</f>
        <v>4666.666666666667</v>
      </c>
      <c r="H7" s="122">
        <v>46174</v>
      </c>
      <c r="I7" s="82" t="s">
        <v>56</v>
      </c>
      <c r="J7" s="83">
        <v>2750</v>
      </c>
      <c r="K7" s="83">
        <f>J7/6</f>
        <v>458.33333333333331</v>
      </c>
      <c r="L7" s="84">
        <f>J7-K7</f>
        <v>2291.6666666666665</v>
      </c>
      <c r="N7" s="116">
        <v>46180</v>
      </c>
      <c r="O7" s="61" t="s">
        <v>57</v>
      </c>
      <c r="P7" s="60"/>
      <c r="Q7" s="60">
        <v>1800</v>
      </c>
      <c r="R7" s="60">
        <f>Q7/6</f>
        <v>300</v>
      </c>
      <c r="S7" s="60"/>
      <c r="T7" s="60"/>
      <c r="U7" s="94">
        <f>Q7-R7</f>
        <v>1500</v>
      </c>
      <c r="V7" s="57"/>
      <c r="W7" s="57"/>
      <c r="X7" s="57"/>
      <c r="Y7" s="57"/>
      <c r="Z7" s="57"/>
    </row>
    <row r="8" spans="1:26">
      <c r="B8" s="116">
        <v>46185</v>
      </c>
      <c r="C8" s="61" t="s">
        <v>58</v>
      </c>
      <c r="D8" s="62">
        <f>E8+F8</f>
        <v>6000</v>
      </c>
      <c r="E8" s="62">
        <f>F8*0.2</f>
        <v>1000</v>
      </c>
      <c r="F8" s="85">
        <v>5000</v>
      </c>
      <c r="H8" s="116">
        <v>46174</v>
      </c>
      <c r="I8" s="61" t="s">
        <v>59</v>
      </c>
      <c r="J8" s="62">
        <v>3200</v>
      </c>
      <c r="K8" s="62">
        <f>J8/6</f>
        <v>533.33333333333337</v>
      </c>
      <c r="L8" s="85">
        <f>J8-K8</f>
        <v>2666.6666666666665</v>
      </c>
      <c r="N8" s="116">
        <v>46193</v>
      </c>
      <c r="O8" s="61" t="s">
        <v>57</v>
      </c>
      <c r="P8" s="60"/>
      <c r="Q8" s="60">
        <v>1000</v>
      </c>
      <c r="R8" s="60" t="s">
        <v>60</v>
      </c>
      <c r="S8" s="60"/>
      <c r="T8" s="60"/>
      <c r="U8" s="94">
        <f>Q8</f>
        <v>1000</v>
      </c>
      <c r="V8" s="57"/>
      <c r="W8" s="57"/>
      <c r="X8" s="57"/>
      <c r="Y8" s="57"/>
      <c r="Z8" s="57"/>
    </row>
    <row r="9" spans="1:26">
      <c r="B9" s="116">
        <v>46197</v>
      </c>
      <c r="C9" s="61" t="s">
        <v>58</v>
      </c>
      <c r="D9" s="62">
        <f>E9+F9</f>
        <v>4800</v>
      </c>
      <c r="E9" s="62">
        <f>F9*0.2</f>
        <v>800</v>
      </c>
      <c r="F9" s="85">
        <v>4000</v>
      </c>
      <c r="H9" s="116">
        <v>46178</v>
      </c>
      <c r="I9" s="61" t="s">
        <v>59</v>
      </c>
      <c r="J9" s="62">
        <v>3500</v>
      </c>
      <c r="K9" s="62" t="s">
        <v>60</v>
      </c>
      <c r="L9" s="85">
        <f>J9</f>
        <v>3500</v>
      </c>
      <c r="N9" s="116">
        <v>46201</v>
      </c>
      <c r="O9" s="61" t="s">
        <v>58</v>
      </c>
      <c r="P9" s="60">
        <f>C41</f>
        <v>9312</v>
      </c>
      <c r="Q9" s="60"/>
      <c r="R9" s="60"/>
      <c r="S9" s="60">
        <f>P9</f>
        <v>9312</v>
      </c>
      <c r="T9" s="60"/>
      <c r="U9" s="94"/>
      <c r="V9" s="57"/>
      <c r="W9" s="57"/>
      <c r="X9" s="57"/>
    </row>
    <row r="10" spans="1:26">
      <c r="B10" s="116">
        <v>46197</v>
      </c>
      <c r="C10" s="61" t="s">
        <v>55</v>
      </c>
      <c r="D10" s="62">
        <v>6000</v>
      </c>
      <c r="E10" s="62">
        <f>D10/6</f>
        <v>1000</v>
      </c>
      <c r="F10" s="85">
        <f>D10-E10</f>
        <v>5000</v>
      </c>
      <c r="H10" s="116">
        <v>46200</v>
      </c>
      <c r="I10" s="61" t="s">
        <v>56</v>
      </c>
      <c r="J10" s="62">
        <v>2600</v>
      </c>
      <c r="K10" s="62">
        <f>J10/6</f>
        <v>433.33333333333331</v>
      </c>
      <c r="L10" s="85">
        <f>J10-K10</f>
        <v>2166.6666666666665</v>
      </c>
      <c r="N10" s="116">
        <v>46203</v>
      </c>
      <c r="O10" s="61" t="s">
        <v>61</v>
      </c>
      <c r="P10" s="60"/>
      <c r="Q10" s="60">
        <v>1500</v>
      </c>
      <c r="R10" s="60"/>
      <c r="S10" s="60">
        <f>Q10</f>
        <v>1500</v>
      </c>
      <c r="T10" s="60"/>
      <c r="U10" s="94"/>
      <c r="V10" s="57"/>
      <c r="W10" s="57"/>
      <c r="X10" s="57"/>
    </row>
    <row r="11" spans="1:26">
      <c r="B11" s="117"/>
      <c r="C11" s="61"/>
      <c r="D11" s="64"/>
      <c r="E11" s="64"/>
      <c r="F11" s="86"/>
      <c r="H11" s="117"/>
      <c r="I11" s="61"/>
      <c r="J11" s="64"/>
      <c r="K11" s="64"/>
      <c r="L11" s="86"/>
      <c r="N11" s="117"/>
      <c r="O11" s="61"/>
      <c r="P11" s="66"/>
      <c r="Q11" s="66"/>
      <c r="R11" s="66"/>
      <c r="S11" s="66"/>
      <c r="T11" s="66"/>
      <c r="U11" s="95"/>
      <c r="V11" s="57"/>
      <c r="W11" s="57"/>
      <c r="X11" s="57"/>
    </row>
    <row r="12" spans="1:26">
      <c r="B12" s="118"/>
      <c r="C12" s="92"/>
      <c r="D12" s="87">
        <f>SUM(D7:D11)</f>
        <v>22400</v>
      </c>
      <c r="E12" s="65">
        <f>SUM(E7:E11)</f>
        <v>3733.3333333333335</v>
      </c>
      <c r="F12" s="65">
        <f>SUM(F7:F11)</f>
        <v>18666.666666666668</v>
      </c>
      <c r="H12" s="118"/>
      <c r="I12" s="92"/>
      <c r="J12" s="87">
        <f>SUM(J7:J11)</f>
        <v>12050</v>
      </c>
      <c r="K12" s="65">
        <f>SUM(K7:K11)</f>
        <v>1425</v>
      </c>
      <c r="L12" s="65">
        <f>SUM(L7:L11)</f>
        <v>10624.999999999998</v>
      </c>
      <c r="N12" s="118"/>
      <c r="O12" s="92"/>
      <c r="P12" s="96">
        <f>SUM(P6:P10)</f>
        <v>109312</v>
      </c>
      <c r="Q12" s="2">
        <f>SUM(Q6:Q10)</f>
        <v>12300</v>
      </c>
      <c r="R12" s="2">
        <f>SUM(R6:R10)</f>
        <v>300</v>
      </c>
      <c r="S12" s="2">
        <f>SUM(S6:S10)</f>
        <v>10812</v>
      </c>
      <c r="T12" s="2">
        <f>SUM(T6:T10)</f>
        <v>108000</v>
      </c>
      <c r="U12" s="2">
        <f>SUM(U6:U10)</f>
        <v>2500</v>
      </c>
      <c r="V12" s="57"/>
      <c r="W12" s="57"/>
      <c r="X12" s="57"/>
    </row>
    <row r="13" spans="1:26">
      <c r="P13" s="57"/>
      <c r="Q13" s="57"/>
      <c r="R13" s="57"/>
      <c r="S13" s="57"/>
      <c r="T13" s="57"/>
      <c r="U13" s="57"/>
      <c r="V13" s="57"/>
      <c r="W13" s="57"/>
      <c r="X13" s="57"/>
    </row>
    <row r="14" spans="1:26">
      <c r="B14" s="135" t="s">
        <v>62</v>
      </c>
      <c r="C14" s="136"/>
      <c r="D14" s="1" t="s">
        <v>38</v>
      </c>
      <c r="E14" s="1" t="s">
        <v>37</v>
      </c>
      <c r="F14" s="1" t="s">
        <v>37</v>
      </c>
      <c r="H14" s="135" t="s">
        <v>63</v>
      </c>
      <c r="I14" s="136"/>
      <c r="J14" s="1" t="s">
        <v>37</v>
      </c>
      <c r="K14" s="1" t="s">
        <v>38</v>
      </c>
      <c r="L14" s="1" t="s">
        <v>38</v>
      </c>
      <c r="O14" s="201" t="s">
        <v>64</v>
      </c>
      <c r="P14" s="105">
        <f>P26</f>
        <v>75267</v>
      </c>
      <c r="Q14" s="106">
        <f>Q26</f>
        <v>12095</v>
      </c>
      <c r="R14" s="57"/>
      <c r="S14" s="57"/>
      <c r="T14" s="57"/>
      <c r="U14" s="57"/>
      <c r="V14" s="57"/>
      <c r="W14" s="57"/>
      <c r="X14" s="57"/>
    </row>
    <row r="15" spans="1:26">
      <c r="B15" s="131" t="str">
        <f>B5</f>
        <v>Date</v>
      </c>
      <c r="C15" s="129" t="s">
        <v>43</v>
      </c>
      <c r="D15" s="80" t="str">
        <f t="shared" ref="C15:F15" si="0">D5</f>
        <v>Gross</v>
      </c>
      <c r="E15" s="80" t="str">
        <f t="shared" si="0"/>
        <v>VAT</v>
      </c>
      <c r="F15" s="81" t="str">
        <f t="shared" si="0"/>
        <v>Net</v>
      </c>
      <c r="H15" s="133" t="str">
        <f>H5</f>
        <v>Date</v>
      </c>
      <c r="I15" s="129" t="s">
        <v>47</v>
      </c>
      <c r="J15" s="79" t="str">
        <f t="shared" ref="I15:L15" si="1">J5</f>
        <v>Gross</v>
      </c>
      <c r="K15" s="80" t="str">
        <f t="shared" si="1"/>
        <v>VAT</v>
      </c>
      <c r="L15" s="81" t="str">
        <f t="shared" si="1"/>
        <v>Net</v>
      </c>
      <c r="P15" s="57"/>
      <c r="Q15" s="57"/>
      <c r="R15" s="57"/>
      <c r="S15" s="57"/>
      <c r="T15" s="57"/>
      <c r="U15" s="57"/>
      <c r="V15" s="57"/>
      <c r="W15" s="57"/>
      <c r="X15" s="57"/>
    </row>
    <row r="16" spans="1:26">
      <c r="B16" s="132"/>
      <c r="C16" s="130"/>
      <c r="D16" s="88" t="s">
        <v>54</v>
      </c>
      <c r="E16" s="88" t="s">
        <v>54</v>
      </c>
      <c r="F16" s="90" t="s">
        <v>54</v>
      </c>
      <c r="H16" s="134"/>
      <c r="I16" s="130"/>
      <c r="J16" s="89" t="s">
        <v>54</v>
      </c>
      <c r="K16" s="88" t="s">
        <v>54</v>
      </c>
      <c r="L16" s="90" t="s">
        <v>54</v>
      </c>
      <c r="N16" s="126" t="s">
        <v>65</v>
      </c>
      <c r="O16" s="127"/>
      <c r="P16" s="57" t="s">
        <v>66</v>
      </c>
      <c r="Q16" s="57" t="str">
        <f>P16</f>
        <v>Dr</v>
      </c>
      <c r="R16" s="57" t="str">
        <f>Q16</f>
        <v>Dr</v>
      </c>
      <c r="S16" s="57" t="str">
        <f>R16</f>
        <v>Dr</v>
      </c>
      <c r="T16" s="57" t="str">
        <f>S16</f>
        <v>Dr</v>
      </c>
      <c r="U16" s="57" t="str">
        <f>T16</f>
        <v>Dr</v>
      </c>
      <c r="V16" s="57" t="str">
        <f>U16</f>
        <v>Dr</v>
      </c>
      <c r="W16" s="57" t="str">
        <f>V16</f>
        <v>Dr</v>
      </c>
      <c r="X16" s="57" t="str">
        <f>W16</f>
        <v>Dr</v>
      </c>
    </row>
    <row r="17" spans="2:24 16369:16369">
      <c r="B17" s="122">
        <v>46199</v>
      </c>
      <c r="C17" s="82" t="s">
        <v>58</v>
      </c>
      <c r="D17" s="83">
        <f>E17+F17</f>
        <v>1200</v>
      </c>
      <c r="E17" s="83">
        <f>F17*0.2</f>
        <v>200</v>
      </c>
      <c r="F17" s="84">
        <v>1000</v>
      </c>
      <c r="H17" s="122">
        <v>46187</v>
      </c>
      <c r="I17" s="82" t="s">
        <v>59</v>
      </c>
      <c r="J17" s="83">
        <v>820</v>
      </c>
      <c r="K17" s="83">
        <f>J17/6</f>
        <v>136.66666666666666</v>
      </c>
      <c r="L17" s="84">
        <f>J17-K17</f>
        <v>683.33333333333337</v>
      </c>
      <c r="N17" s="99" t="s">
        <v>42</v>
      </c>
      <c r="O17" s="100" t="s">
        <v>48</v>
      </c>
      <c r="P17" s="101" t="s">
        <v>49</v>
      </c>
      <c r="Q17" s="101" t="s">
        <v>50</v>
      </c>
      <c r="R17" s="101" t="s">
        <v>45</v>
      </c>
      <c r="S17" s="101" t="s">
        <v>67</v>
      </c>
      <c r="T17" s="101" t="s">
        <v>68</v>
      </c>
      <c r="U17" s="101" t="s">
        <v>69</v>
      </c>
      <c r="V17" s="101" t="s">
        <v>70</v>
      </c>
      <c r="W17" s="101" t="s">
        <v>71</v>
      </c>
      <c r="X17" s="102" t="s">
        <v>72</v>
      </c>
    </row>
    <row r="18" spans="2:24 16369:16369">
      <c r="B18" s="116">
        <v>46201</v>
      </c>
      <c r="C18" s="61" t="s">
        <v>55</v>
      </c>
      <c r="D18" s="62">
        <v>800</v>
      </c>
      <c r="E18" s="62">
        <f>D18/6</f>
        <v>133.33333333333334</v>
      </c>
      <c r="F18" s="85">
        <f>D18-E18</f>
        <v>666.66666666666663</v>
      </c>
      <c r="H18" s="117"/>
      <c r="I18" s="61"/>
      <c r="J18" s="62"/>
      <c r="K18" s="62"/>
      <c r="L18" s="85"/>
      <c r="N18" s="115">
        <v>46175</v>
      </c>
      <c r="O18" s="58" t="s">
        <v>68</v>
      </c>
      <c r="P18" s="63">
        <v>5000</v>
      </c>
      <c r="Q18" s="63"/>
      <c r="R18" s="63">
        <f>P18/6</f>
        <v>833.33333333333337</v>
      </c>
      <c r="S18" s="63"/>
      <c r="T18" s="63">
        <f>P18-R18</f>
        <v>4166.666666666667</v>
      </c>
      <c r="U18" s="63"/>
      <c r="V18" s="63"/>
      <c r="W18" s="63"/>
      <c r="X18" s="93"/>
    </row>
    <row r="19" spans="2:24 16369:16369">
      <c r="B19" s="117"/>
      <c r="C19" s="61"/>
      <c r="D19" s="64"/>
      <c r="E19" s="64"/>
      <c r="F19" s="86"/>
      <c r="H19" s="117"/>
      <c r="I19" s="61"/>
      <c r="J19" s="64"/>
      <c r="K19" s="64"/>
      <c r="L19" s="86"/>
      <c r="N19" s="116">
        <v>46177</v>
      </c>
      <c r="O19" s="61" t="s">
        <v>73</v>
      </c>
      <c r="P19" s="60">
        <f>1850</f>
        <v>1850</v>
      </c>
      <c r="Q19" s="60"/>
      <c r="R19" s="60" t="s">
        <v>74</v>
      </c>
      <c r="S19" s="60"/>
      <c r="T19" s="60"/>
      <c r="U19" s="60"/>
      <c r="V19" s="60">
        <f>P19</f>
        <v>1850</v>
      </c>
      <c r="W19" s="60"/>
      <c r="X19" s="94"/>
    </row>
    <row r="20" spans="2:24 16369:16369">
      <c r="B20" s="118"/>
      <c r="C20" s="92"/>
      <c r="D20" s="87">
        <f>SUM(D17:D19)</f>
        <v>2000</v>
      </c>
      <c r="E20" s="65">
        <f>SUM(E17:E19)</f>
        <v>333.33333333333337</v>
      </c>
      <c r="F20" s="65">
        <f>SUM(F17:F19)</f>
        <v>1666.6666666666665</v>
      </c>
      <c r="H20" s="118"/>
      <c r="I20" s="92"/>
      <c r="J20" s="87">
        <f>SUM(J17:J19)</f>
        <v>820</v>
      </c>
      <c r="K20" s="65">
        <f>SUM(K17:K19)</f>
        <v>136.66666666666666</v>
      </c>
      <c r="L20" s="65">
        <f>SUM(L17:L19)</f>
        <v>683.33333333333337</v>
      </c>
      <c r="N20" s="116">
        <v>46181</v>
      </c>
      <c r="O20" s="61" t="s">
        <v>75</v>
      </c>
      <c r="P20" s="60"/>
      <c r="Q20" s="60">
        <v>154</v>
      </c>
      <c r="R20" s="60">
        <f>Q20/6</f>
        <v>25.666666666666668</v>
      </c>
      <c r="S20" s="60"/>
      <c r="T20" s="60"/>
      <c r="U20" s="60">
        <f>Q20-R20</f>
        <v>128.33333333333334</v>
      </c>
      <c r="V20" s="60"/>
      <c r="W20" s="60"/>
      <c r="X20" s="94"/>
    </row>
    <row r="21" spans="2:24 16369:16369">
      <c r="N21" s="116">
        <v>46188</v>
      </c>
      <c r="O21" s="61" t="s">
        <v>76</v>
      </c>
      <c r="P21" s="60">
        <v>22000</v>
      </c>
      <c r="Q21" s="60"/>
      <c r="R21" s="60">
        <f>P21/6</f>
        <v>3666.6666666666665</v>
      </c>
      <c r="S21" s="60"/>
      <c r="T21" s="60"/>
      <c r="U21" s="60"/>
      <c r="V21" s="60"/>
      <c r="W21" s="60">
        <f>P21-R21</f>
        <v>18333.333333333332</v>
      </c>
      <c r="X21" s="94"/>
    </row>
    <row r="22" spans="2:24 16369:16369">
      <c r="B22" s="135" t="s">
        <v>77</v>
      </c>
      <c r="C22" s="136"/>
      <c r="D22" s="1" t="s">
        <v>38</v>
      </c>
      <c r="E22" s="1" t="s">
        <v>37</v>
      </c>
      <c r="F22" s="1" t="s">
        <v>37</v>
      </c>
      <c r="H22" s="135" t="s">
        <v>78</v>
      </c>
      <c r="I22" s="136"/>
      <c r="J22" s="1" t="s">
        <v>37</v>
      </c>
      <c r="K22" s="1" t="s">
        <v>38</v>
      </c>
      <c r="L22" s="1" t="s">
        <v>38</v>
      </c>
      <c r="N22" s="116">
        <v>46194</v>
      </c>
      <c r="O22" s="61" t="s">
        <v>72</v>
      </c>
      <c r="P22" s="60"/>
      <c r="Q22" s="60">
        <v>51</v>
      </c>
      <c r="R22" s="60" t="s">
        <v>74</v>
      </c>
      <c r="S22" s="60"/>
      <c r="T22" s="60"/>
      <c r="U22" s="60"/>
      <c r="V22" s="60"/>
      <c r="W22" s="60"/>
      <c r="X22" s="94">
        <f>Q22</f>
        <v>51</v>
      </c>
    </row>
    <row r="23" spans="2:24 16369:16369">
      <c r="B23" s="131" t="s">
        <v>42</v>
      </c>
      <c r="C23" s="129" t="s">
        <v>43</v>
      </c>
      <c r="D23" s="80" t="s">
        <v>44</v>
      </c>
      <c r="E23" s="80" t="s">
        <v>45</v>
      </c>
      <c r="F23" s="81" t="s">
        <v>46</v>
      </c>
      <c r="H23" s="133" t="s">
        <v>42</v>
      </c>
      <c r="I23" s="129" t="s">
        <v>47</v>
      </c>
      <c r="J23" s="79" t="s">
        <v>44</v>
      </c>
      <c r="K23" s="80" t="s">
        <v>45</v>
      </c>
      <c r="L23" s="81" t="s">
        <v>46</v>
      </c>
      <c r="N23" s="116">
        <v>46197</v>
      </c>
      <c r="O23" s="61" t="s">
        <v>59</v>
      </c>
      <c r="P23" s="60">
        <v>2500</v>
      </c>
      <c r="Q23" s="60"/>
      <c r="R23" s="60"/>
      <c r="S23" s="60">
        <f>P23</f>
        <v>2500</v>
      </c>
      <c r="T23" s="60"/>
      <c r="U23" s="60"/>
      <c r="V23" s="60"/>
      <c r="W23" s="60"/>
      <c r="X23" s="94"/>
    </row>
    <row r="24" spans="2:24 16369:16369">
      <c r="B24" s="132"/>
      <c r="C24" s="130"/>
      <c r="D24" s="88" t="s">
        <v>54</v>
      </c>
      <c r="E24" s="88" t="s">
        <v>54</v>
      </c>
      <c r="F24" s="90" t="s">
        <v>54</v>
      </c>
      <c r="H24" s="134"/>
      <c r="I24" s="130"/>
      <c r="J24" s="89" t="s">
        <v>54</v>
      </c>
      <c r="K24" s="88" t="s">
        <v>54</v>
      </c>
      <c r="L24" s="90" t="s">
        <v>54</v>
      </c>
      <c r="N24" s="116">
        <v>46199</v>
      </c>
      <c r="O24" s="61" t="s">
        <v>56</v>
      </c>
      <c r="P24" s="60">
        <f>C33</f>
        <v>2695</v>
      </c>
      <c r="Q24" s="60"/>
      <c r="R24" s="60"/>
      <c r="S24" s="60">
        <f>P24</f>
        <v>2695</v>
      </c>
      <c r="T24" s="60"/>
      <c r="U24" s="60"/>
      <c r="V24" s="60"/>
      <c r="W24" s="60"/>
      <c r="X24" s="94"/>
    </row>
    <row r="25" spans="2:24 16369:16369">
      <c r="B25" s="122">
        <v>46201</v>
      </c>
      <c r="C25" s="82" t="s">
        <v>58</v>
      </c>
      <c r="D25" s="83">
        <f>C40</f>
        <v>288</v>
      </c>
      <c r="E25" s="83">
        <f>D25/6</f>
        <v>48</v>
      </c>
      <c r="F25" s="84">
        <f>D25-E25</f>
        <v>240</v>
      </c>
      <c r="H25" s="122">
        <v>46199</v>
      </c>
      <c r="I25" s="82" t="s">
        <v>56</v>
      </c>
      <c r="J25" s="83">
        <f>C32</f>
        <v>55</v>
      </c>
      <c r="K25" s="83">
        <f>J25/6</f>
        <v>9.1666666666666661</v>
      </c>
      <c r="L25" s="84">
        <f>J25-K25</f>
        <v>45.833333333333336</v>
      </c>
      <c r="N25" s="119"/>
      <c r="O25" s="68"/>
      <c r="P25" s="69"/>
      <c r="Q25" s="69"/>
      <c r="R25" s="60"/>
      <c r="S25" s="60"/>
      <c r="T25" s="60"/>
      <c r="U25" s="60"/>
      <c r="V25" s="60"/>
      <c r="W25" s="60"/>
      <c r="X25" s="94"/>
    </row>
    <row r="26" spans="2:24 16369:16369">
      <c r="B26" s="117"/>
      <c r="C26" s="61"/>
      <c r="D26" s="62"/>
      <c r="E26" s="62"/>
      <c r="F26" s="85"/>
      <c r="H26" s="117"/>
      <c r="I26" s="61"/>
      <c r="J26" s="62"/>
      <c r="K26" s="62"/>
      <c r="L26" s="85"/>
      <c r="N26" s="120">
        <v>46203</v>
      </c>
      <c r="O26" s="200" t="s">
        <v>79</v>
      </c>
      <c r="P26" s="107">
        <f>P12-SUM(P18:P24)</f>
        <v>75267</v>
      </c>
      <c r="Q26" s="108">
        <f>Q12-SUM(Q18:Q24)</f>
        <v>12095</v>
      </c>
      <c r="R26" s="109"/>
      <c r="S26" s="69"/>
      <c r="T26" s="69"/>
      <c r="U26" s="69"/>
      <c r="V26" s="69"/>
      <c r="W26" s="69"/>
      <c r="X26" s="97"/>
    </row>
    <row r="27" spans="2:24 16369:16369">
      <c r="B27" s="117"/>
      <c r="C27" s="61"/>
      <c r="D27" s="64"/>
      <c r="E27" s="64"/>
      <c r="F27" s="86"/>
      <c r="H27" s="117"/>
      <c r="I27" s="61"/>
      <c r="J27" s="64"/>
      <c r="K27" s="64"/>
      <c r="L27" s="86"/>
      <c r="N27" s="121"/>
      <c r="O27" s="58"/>
      <c r="P27" s="110"/>
      <c r="Q27" s="110"/>
      <c r="R27" s="70"/>
      <c r="S27" s="70"/>
      <c r="T27" s="70"/>
      <c r="U27" s="70"/>
      <c r="V27" s="70"/>
      <c r="W27" s="70"/>
      <c r="X27" s="98"/>
    </row>
    <row r="28" spans="2:24 16369:16369">
      <c r="B28" s="118"/>
      <c r="C28" s="92"/>
      <c r="D28" s="87">
        <f>SUM(D25:D27)</f>
        <v>288</v>
      </c>
      <c r="E28" s="65">
        <f>SUM(E25:E27)</f>
        <v>48</v>
      </c>
      <c r="F28" s="65">
        <f>SUM(F25:F27)</f>
        <v>240</v>
      </c>
      <c r="H28" s="118"/>
      <c r="I28" s="92"/>
      <c r="J28" s="87">
        <f>SUM(J25:J27)</f>
        <v>55</v>
      </c>
      <c r="K28" s="65">
        <f>SUM(K25:K27)</f>
        <v>9.1666666666666661</v>
      </c>
      <c r="L28" s="65">
        <f>SUM(L25:L27)</f>
        <v>45.833333333333336</v>
      </c>
      <c r="N28" s="91"/>
      <c r="O28" s="92"/>
      <c r="P28" s="96">
        <f>SUM(P18:P26)</f>
        <v>109312</v>
      </c>
      <c r="Q28" s="2">
        <f>SUM(Q18:Q26)</f>
        <v>12300</v>
      </c>
      <c r="R28" s="2">
        <f>SUM(R18:R26)</f>
        <v>4525.6666666666661</v>
      </c>
      <c r="S28" s="2">
        <f>SUM(S18:S26)</f>
        <v>5195</v>
      </c>
      <c r="T28" s="2">
        <f>SUM(T18:T26)</f>
        <v>4166.666666666667</v>
      </c>
      <c r="U28" s="2">
        <f>SUM(U18:U26)</f>
        <v>128.33333333333334</v>
      </c>
      <c r="V28" s="2">
        <f>SUM(V18:V26)</f>
        <v>1850</v>
      </c>
      <c r="W28" s="2">
        <f>SUM(W18:W26)</f>
        <v>18333.333333333332</v>
      </c>
      <c r="X28" s="2">
        <f>SUM(X18:X26)</f>
        <v>51</v>
      </c>
    </row>
    <row r="30" spans="2:24 16369:16369">
      <c r="B30" s="67"/>
      <c r="C30" s="71" t="s">
        <v>56</v>
      </c>
      <c r="D30" s="72" t="s">
        <v>80</v>
      </c>
      <c r="I30" s="111"/>
      <c r="J30" s="111"/>
      <c r="K30" s="111"/>
      <c r="XEO30" s="2"/>
    </row>
    <row r="31" spans="2:24 16369:16369">
      <c r="B31" s="73">
        <f>H7</f>
        <v>46174</v>
      </c>
      <c r="C31" s="57">
        <f>J7</f>
        <v>2750</v>
      </c>
      <c r="D31" s="74" t="s">
        <v>81</v>
      </c>
      <c r="P31" s="57"/>
      <c r="Q31" s="57"/>
      <c r="R31" s="57"/>
      <c r="S31" s="57"/>
      <c r="T31" s="57"/>
      <c r="U31" s="57"/>
      <c r="V31" s="57"/>
      <c r="W31" s="57"/>
      <c r="X31" s="57"/>
    </row>
    <row r="32" spans="2:24 16369:16369">
      <c r="B32" s="75" t="s">
        <v>82</v>
      </c>
      <c r="C32" s="76">
        <f>C31*0.02</f>
        <v>55</v>
      </c>
      <c r="D32" s="74" t="s">
        <v>83</v>
      </c>
      <c r="H32" s="111"/>
    </row>
    <row r="33" spans="2:11">
      <c r="B33" s="59" t="s">
        <v>82</v>
      </c>
      <c r="C33" s="77">
        <f>C31-C32</f>
        <v>2695</v>
      </c>
      <c r="D33" s="78" t="s">
        <v>84</v>
      </c>
      <c r="H33" s="111"/>
    </row>
    <row r="34" spans="2:11">
      <c r="H34" s="111"/>
      <c r="I34" s="111"/>
      <c r="J34" s="111"/>
      <c r="K34" s="111"/>
    </row>
    <row r="35" spans="2:11">
      <c r="B35" s="67"/>
      <c r="C35" s="71" t="s">
        <v>58</v>
      </c>
      <c r="D35" s="72" t="s">
        <v>85</v>
      </c>
      <c r="H35" s="111"/>
    </row>
    <row r="36" spans="2:11">
      <c r="B36" s="73">
        <f>B8</f>
        <v>46185</v>
      </c>
      <c r="C36" s="57">
        <f>D8</f>
        <v>6000</v>
      </c>
      <c r="D36" s="74" t="s">
        <v>81</v>
      </c>
      <c r="H36" s="111"/>
    </row>
    <row r="37" spans="2:11">
      <c r="B37" s="73">
        <f>B9</f>
        <v>46197</v>
      </c>
      <c r="C37" s="57">
        <f>D9</f>
        <v>4800</v>
      </c>
      <c r="D37" s="74" t="s">
        <v>86</v>
      </c>
      <c r="H37" s="111"/>
    </row>
    <row r="38" spans="2:11">
      <c r="B38" s="73">
        <f>B17</f>
        <v>46199</v>
      </c>
      <c r="C38" s="77">
        <f>D17</f>
        <v>1200</v>
      </c>
      <c r="D38" s="74" t="s">
        <v>87</v>
      </c>
    </row>
    <row r="39" spans="2:11" ht="15.75" customHeight="1">
      <c r="B39" s="75"/>
      <c r="C39" s="57">
        <f>(C36+C37)-C38</f>
        <v>9600</v>
      </c>
      <c r="D39" s="74" t="s">
        <v>88</v>
      </c>
    </row>
    <row r="40" spans="2:11">
      <c r="B40" s="75" t="s">
        <v>82</v>
      </c>
      <c r="C40" s="76">
        <f>C39*0.03</f>
        <v>288</v>
      </c>
      <c r="D40" s="74" t="s">
        <v>83</v>
      </c>
      <c r="G40" s="112"/>
    </row>
    <row r="41" spans="2:11">
      <c r="B41" s="59" t="s">
        <v>82</v>
      </c>
      <c r="C41" s="77">
        <f>C39-C40</f>
        <v>9312</v>
      </c>
      <c r="D41" s="78" t="s">
        <v>84</v>
      </c>
      <c r="G41" s="112"/>
    </row>
    <row r="42" spans="2:11">
      <c r="G42" s="112"/>
    </row>
    <row r="43" spans="2:11">
      <c r="G43" s="112"/>
    </row>
    <row r="44" spans="2:11">
      <c r="G44" s="112"/>
    </row>
    <row r="45" spans="2:11">
      <c r="G45" s="112"/>
    </row>
    <row r="46" spans="2:11">
      <c r="G46" s="112"/>
    </row>
    <row r="47" spans="2:11">
      <c r="G47" s="112"/>
    </row>
    <row r="51" ht="14.45" customHeight="1"/>
  </sheetData>
  <mergeCells count="23">
    <mergeCell ref="H23:H24"/>
    <mergeCell ref="N2:Q2"/>
    <mergeCell ref="B4:C4"/>
    <mergeCell ref="H4:I4"/>
    <mergeCell ref="I23:I24"/>
    <mergeCell ref="C15:C16"/>
    <mergeCell ref="B15:B16"/>
    <mergeCell ref="B23:B24"/>
    <mergeCell ref="C23:C24"/>
    <mergeCell ref="B22:C22"/>
    <mergeCell ref="H14:I14"/>
    <mergeCell ref="I15:I16"/>
    <mergeCell ref="H15:H16"/>
    <mergeCell ref="H22:I22"/>
    <mergeCell ref="N4:O4"/>
    <mergeCell ref="N16:O16"/>
    <mergeCell ref="B2:F2"/>
    <mergeCell ref="H2:L2"/>
    <mergeCell ref="C5:C6"/>
    <mergeCell ref="B5:B6"/>
    <mergeCell ref="H5:H6"/>
    <mergeCell ref="I5:I6"/>
    <mergeCell ref="B14:C14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19"/>
  <sheetViews>
    <sheetView zoomScaleNormal="100" workbookViewId="0">
      <selection activeCell="I92" sqref="I92"/>
    </sheetView>
  </sheetViews>
  <sheetFormatPr defaultColWidth="8.5703125" defaultRowHeight="15"/>
  <cols>
    <col min="1" max="1" width="8.5703125" style="5"/>
    <col min="2" max="2" width="10.7109375" style="4" customWidth="1"/>
    <col min="3" max="3" width="27.28515625" style="5" bestFit="1" customWidth="1"/>
    <col min="4" max="4" width="11.42578125" style="6" bestFit="1" customWidth="1"/>
    <col min="5" max="6" width="12" style="6" bestFit="1" customWidth="1"/>
    <col min="7" max="8" width="8.5703125" style="5"/>
    <col min="9" max="9" width="19.7109375" style="5" bestFit="1" customWidth="1"/>
    <col min="10" max="11" width="16.5703125" style="5" customWidth="1"/>
    <col min="12" max="16384" width="8.5703125" style="5"/>
  </cols>
  <sheetData>
    <row r="1" spans="2:11">
      <c r="D1" s="5"/>
    </row>
    <row r="2" spans="2:11">
      <c r="B2" s="7" t="s">
        <v>89</v>
      </c>
      <c r="D2" s="5"/>
      <c r="I2" s="7" t="s">
        <v>90</v>
      </c>
    </row>
    <row r="3" spans="2:11">
      <c r="I3" s="7" t="s">
        <v>91</v>
      </c>
    </row>
    <row r="4" spans="2:11">
      <c r="B4" s="165" t="s">
        <v>92</v>
      </c>
      <c r="C4" s="166" t="s">
        <v>61</v>
      </c>
      <c r="D4" s="164"/>
      <c r="E4" s="140"/>
      <c r="F4" s="140"/>
      <c r="I4" s="10"/>
      <c r="J4" s="11" t="s">
        <v>93</v>
      </c>
      <c r="K4" s="12" t="s">
        <v>94</v>
      </c>
    </row>
    <row r="5" spans="2:11">
      <c r="B5" s="167" t="s">
        <v>42</v>
      </c>
      <c r="C5" s="141" t="s">
        <v>48</v>
      </c>
      <c r="D5" s="142" t="s">
        <v>95</v>
      </c>
      <c r="E5" s="156" t="s">
        <v>96</v>
      </c>
      <c r="F5" s="157" t="s">
        <v>97</v>
      </c>
      <c r="I5" s="10" t="s">
        <v>50</v>
      </c>
      <c r="J5" s="13">
        <f>'Part A'!Q14</f>
        <v>12095</v>
      </c>
      <c r="K5" s="14"/>
    </row>
    <row r="6" spans="2:11">
      <c r="B6" s="158"/>
      <c r="C6" s="159"/>
      <c r="D6" s="160" t="s">
        <v>54</v>
      </c>
      <c r="E6" s="160" t="s">
        <v>54</v>
      </c>
      <c r="F6" s="154" t="s">
        <v>54</v>
      </c>
      <c r="I6" s="16" t="s">
        <v>49</v>
      </c>
      <c r="J6" s="17">
        <f>'Part A'!P14</f>
        <v>75267</v>
      </c>
      <c r="K6" s="18"/>
    </row>
    <row r="7" spans="2:11">
      <c r="B7" s="161">
        <f>'Part A'!B7</f>
        <v>46178</v>
      </c>
      <c r="C7" s="15" t="str">
        <f>'Part A'!B4</f>
        <v>Sales Day Book</v>
      </c>
      <c r="D7" s="8">
        <f>'Part A'!D7</f>
        <v>5600</v>
      </c>
      <c r="E7" s="8"/>
      <c r="F7" s="162">
        <f>D7</f>
        <v>5600</v>
      </c>
      <c r="G7" s="5" t="s">
        <v>37</v>
      </c>
      <c r="I7" s="16" t="str">
        <f>C4</f>
        <v>David and Sons</v>
      </c>
      <c r="J7" s="17">
        <f>F10</f>
        <v>9300</v>
      </c>
      <c r="K7" s="18"/>
    </row>
    <row r="8" spans="2:11">
      <c r="B8" s="149">
        <f>'Part A'!B10</f>
        <v>46197</v>
      </c>
      <c r="C8" s="19" t="str">
        <f>C7</f>
        <v>Sales Day Book</v>
      </c>
      <c r="D8" s="20">
        <f>'Part A'!D10</f>
        <v>6000</v>
      </c>
      <c r="E8" s="20"/>
      <c r="F8" s="150">
        <f>F7+D8</f>
        <v>11600</v>
      </c>
      <c r="G8" s="5" t="s">
        <v>37</v>
      </c>
      <c r="I8" s="16" t="str">
        <f>C12</f>
        <v>Rainbow Plc</v>
      </c>
      <c r="J8" s="17">
        <f>F19</f>
        <v>0</v>
      </c>
      <c r="K8" s="18"/>
    </row>
    <row r="9" spans="2:11">
      <c r="B9" s="149">
        <f>'Part A'!B18</f>
        <v>46201</v>
      </c>
      <c r="C9" s="19" t="str">
        <f>'Part A'!B14</f>
        <v>Sales Return Day Book</v>
      </c>
      <c r="D9" s="20"/>
      <c r="E9" s="20">
        <f>'Part A'!D18</f>
        <v>800</v>
      </c>
      <c r="F9" s="150">
        <f>F8-E9</f>
        <v>10800</v>
      </c>
      <c r="G9" s="5" t="s">
        <v>37</v>
      </c>
      <c r="I9" s="16" t="str">
        <f>C23</f>
        <v>Ladies Ltd</v>
      </c>
      <c r="J9" s="17"/>
      <c r="K9" s="18">
        <f>F29</f>
        <v>2600</v>
      </c>
    </row>
    <row r="10" spans="2:11">
      <c r="B10" s="151">
        <v>45838</v>
      </c>
      <c r="C10" s="152" t="s">
        <v>98</v>
      </c>
      <c r="D10" s="153"/>
      <c r="E10" s="153">
        <f>'Part A'!S10</f>
        <v>1500</v>
      </c>
      <c r="F10" s="154">
        <f>F9-E10</f>
        <v>9300</v>
      </c>
      <c r="G10" s="5" t="s">
        <v>37</v>
      </c>
      <c r="I10" s="16" t="str">
        <f>C31</f>
        <v>DNA Partners</v>
      </c>
      <c r="J10" s="17"/>
      <c r="K10" s="18">
        <f>F37</f>
        <v>3380</v>
      </c>
    </row>
    <row r="11" spans="2:11">
      <c r="I11" s="16" t="str">
        <f>C41</f>
        <v>VAT</v>
      </c>
      <c r="J11" s="17">
        <f>F51</f>
        <v>2152.833333333333</v>
      </c>
      <c r="K11" s="18"/>
    </row>
    <row r="12" spans="2:11">
      <c r="B12" s="165" t="s">
        <v>92</v>
      </c>
      <c r="C12" s="192" t="s">
        <v>58</v>
      </c>
      <c r="D12" s="191"/>
      <c r="E12" s="140"/>
      <c r="F12" s="140"/>
      <c r="I12" s="16" t="str">
        <f>C53</f>
        <v>Sales</v>
      </c>
      <c r="J12" s="17"/>
      <c r="K12" s="18">
        <f>F57</f>
        <v>21166.666666666668</v>
      </c>
    </row>
    <row r="13" spans="2:11">
      <c r="B13" s="176" t="s">
        <v>42</v>
      </c>
      <c r="C13" s="176" t="s">
        <v>48</v>
      </c>
      <c r="D13" s="142" t="s">
        <v>95</v>
      </c>
      <c r="E13" s="113" t="s">
        <v>96</v>
      </c>
      <c r="F13" s="113" t="s">
        <v>97</v>
      </c>
      <c r="I13" s="16" t="str">
        <f>C59</f>
        <v>Sales Returns</v>
      </c>
      <c r="J13" s="17">
        <f>F62</f>
        <v>1666.6666666666665</v>
      </c>
      <c r="K13" s="18"/>
    </row>
    <row r="14" spans="2:11">
      <c r="B14" s="176"/>
      <c r="C14" s="176"/>
      <c r="D14" s="155" t="s">
        <v>54</v>
      </c>
      <c r="E14" s="155" t="s">
        <v>54</v>
      </c>
      <c r="F14" s="155" t="s">
        <v>54</v>
      </c>
      <c r="I14" s="16" t="str">
        <f>C64</f>
        <v>Discount Allowed</v>
      </c>
      <c r="J14" s="17">
        <f>F67</f>
        <v>240</v>
      </c>
      <c r="K14" s="18"/>
    </row>
    <row r="15" spans="2:11">
      <c r="B15" s="145">
        <f>'Part A'!B8</f>
        <v>46185</v>
      </c>
      <c r="C15" s="146" t="str">
        <f>'Part A'!B4</f>
        <v>Sales Day Book</v>
      </c>
      <c r="D15" s="147">
        <f>'Part A'!D8</f>
        <v>6000</v>
      </c>
      <c r="E15" s="147"/>
      <c r="F15" s="148">
        <f>D15</f>
        <v>6000</v>
      </c>
      <c r="G15" s="5" t="s">
        <v>37</v>
      </c>
      <c r="I15" s="16" t="str">
        <f>C69</f>
        <v>Purchases</v>
      </c>
      <c r="J15" s="17">
        <f>F72</f>
        <v>10624.999999999998</v>
      </c>
      <c r="K15" s="18"/>
    </row>
    <row r="16" spans="2:11">
      <c r="B16" s="168">
        <f>'Part A'!B9</f>
        <v>46197</v>
      </c>
      <c r="C16" s="22" t="str">
        <f>C15</f>
        <v>Sales Day Book</v>
      </c>
      <c r="D16" s="9">
        <f>'Part A'!D9</f>
        <v>4800</v>
      </c>
      <c r="E16" s="9"/>
      <c r="F16" s="169">
        <f>F15+D16</f>
        <v>10800</v>
      </c>
      <c r="G16" s="5" t="s">
        <v>37</v>
      </c>
      <c r="I16" s="16" t="str">
        <f>C74</f>
        <v>Purchase Returns</v>
      </c>
      <c r="J16" s="17"/>
      <c r="K16" s="18">
        <f>F77</f>
        <v>683.33333333333337</v>
      </c>
    </row>
    <row r="17" spans="2:11">
      <c r="B17" s="168">
        <f>'Part A'!B17</f>
        <v>46199</v>
      </c>
      <c r="C17" s="22" t="str">
        <f>'Part A'!B14</f>
        <v>Sales Return Day Book</v>
      </c>
      <c r="D17" s="9"/>
      <c r="E17" s="9">
        <f>'Part A'!D17</f>
        <v>1200</v>
      </c>
      <c r="F17" s="169">
        <f>F16-E17</f>
        <v>9600</v>
      </c>
      <c r="G17" s="5" t="s">
        <v>37</v>
      </c>
      <c r="I17" s="16" t="str">
        <f>C79</f>
        <v>Discount Received</v>
      </c>
      <c r="J17" s="17"/>
      <c r="K17" s="18">
        <f>F82</f>
        <v>45.833333333333336</v>
      </c>
    </row>
    <row r="18" spans="2:11">
      <c r="B18" s="149">
        <f>'Part A'!B25</f>
        <v>46201</v>
      </c>
      <c r="C18" s="19" t="str">
        <f>'Part A'!B22</f>
        <v>Discount Allowed</v>
      </c>
      <c r="D18" s="20"/>
      <c r="E18" s="20">
        <f>'Part A'!D25</f>
        <v>288</v>
      </c>
      <c r="F18" s="150">
        <f>F17-E18</f>
        <v>9312</v>
      </c>
      <c r="G18" s="5" t="s">
        <v>37</v>
      </c>
      <c r="I18" s="16" t="str">
        <f>C84</f>
        <v>Capital</v>
      </c>
      <c r="J18" s="17"/>
      <c r="K18" s="18">
        <f>F87</f>
        <v>108000</v>
      </c>
    </row>
    <row r="19" spans="2:11">
      <c r="B19" s="151">
        <v>45838</v>
      </c>
      <c r="C19" s="152" t="s">
        <v>98</v>
      </c>
      <c r="D19" s="153"/>
      <c r="E19" s="153">
        <f>'Part A'!S9</f>
        <v>9312</v>
      </c>
      <c r="F19" s="154">
        <f>F18-E19</f>
        <v>0</v>
      </c>
      <c r="G19" s="5" t="s">
        <v>37</v>
      </c>
      <c r="I19" s="16" t="str">
        <f>C89</f>
        <v>Office Equipment</v>
      </c>
      <c r="J19" s="17">
        <f>F92</f>
        <v>4166.666666666667</v>
      </c>
      <c r="K19" s="18"/>
    </row>
    <row r="20" spans="2:11">
      <c r="I20" s="16" t="str">
        <f>C94</f>
        <v>Phone</v>
      </c>
      <c r="J20" s="17">
        <f>F97</f>
        <v>128.33333333333334</v>
      </c>
      <c r="K20" s="18"/>
    </row>
    <row r="21" spans="2:11">
      <c r="B21" s="7" t="s">
        <v>99</v>
      </c>
      <c r="I21" s="16" t="str">
        <f>C99</f>
        <v>Rent and Rates</v>
      </c>
      <c r="J21" s="17">
        <f>F102</f>
        <v>1850</v>
      </c>
      <c r="K21" s="18"/>
    </row>
    <row r="22" spans="2:11">
      <c r="I22" s="16" t="str">
        <f>C104</f>
        <v>Motor Vehicle</v>
      </c>
      <c r="J22" s="17">
        <f>F107</f>
        <v>18333.333333333332</v>
      </c>
      <c r="K22" s="18"/>
    </row>
    <row r="23" spans="2:11">
      <c r="B23" s="194" t="s">
        <v>92</v>
      </c>
      <c r="C23" s="190" t="s">
        <v>56</v>
      </c>
      <c r="D23" s="191"/>
      <c r="E23" s="140"/>
      <c r="F23" s="140"/>
      <c r="I23" s="24" t="str">
        <f>C109</f>
        <v>Postage</v>
      </c>
      <c r="J23" s="25">
        <f>F112</f>
        <v>51</v>
      </c>
      <c r="K23" s="26"/>
    </row>
    <row r="24" spans="2:11">
      <c r="B24" s="193" t="s">
        <v>42</v>
      </c>
      <c r="C24" s="176" t="s">
        <v>48</v>
      </c>
      <c r="D24" s="142" t="s">
        <v>95</v>
      </c>
      <c r="E24" s="156" t="s">
        <v>96</v>
      </c>
      <c r="F24" s="157" t="s">
        <v>97</v>
      </c>
      <c r="I24" s="7"/>
      <c r="J24" s="6"/>
      <c r="K24" s="6"/>
    </row>
    <row r="25" spans="2:11">
      <c r="B25" s="182"/>
      <c r="C25" s="183"/>
      <c r="D25" s="160" t="s">
        <v>54</v>
      </c>
      <c r="E25" s="160" t="s">
        <v>54</v>
      </c>
      <c r="F25" s="154" t="s">
        <v>54</v>
      </c>
      <c r="I25" s="7"/>
      <c r="J25" s="27">
        <f>SUM(J5:J23)</f>
        <v>135875.83333333334</v>
      </c>
      <c r="K25" s="28">
        <f>SUM(K5:K23)</f>
        <v>135875.83333333334</v>
      </c>
    </row>
    <row r="26" spans="2:11">
      <c r="B26" s="161">
        <f>'Part A'!H7</f>
        <v>46174</v>
      </c>
      <c r="C26" s="15" t="str">
        <f>'Part A'!H4</f>
        <v>Purchase Day Book</v>
      </c>
      <c r="D26" s="8"/>
      <c r="E26" s="8">
        <f>'Part A'!J7</f>
        <v>2750</v>
      </c>
      <c r="F26" s="162">
        <f>E26</f>
        <v>2750</v>
      </c>
      <c r="G26" s="5" t="s">
        <v>38</v>
      </c>
      <c r="J26" s="30"/>
    </row>
    <row r="27" spans="2:11">
      <c r="B27" s="149">
        <f>'Part A'!H25</f>
        <v>46199</v>
      </c>
      <c r="C27" s="19" t="str">
        <f>'Part A'!H22</f>
        <v>Discount Received</v>
      </c>
      <c r="D27" s="20">
        <f>'Part A'!J25</f>
        <v>55</v>
      </c>
      <c r="E27" s="20"/>
      <c r="F27" s="150">
        <f>F26-D27</f>
        <v>2695</v>
      </c>
      <c r="G27" s="5" t="s">
        <v>38</v>
      </c>
      <c r="I27" s="32" t="s">
        <v>100</v>
      </c>
      <c r="J27" s="6">
        <f>J25-K25</f>
        <v>0</v>
      </c>
    </row>
    <row r="28" spans="2:11">
      <c r="B28" s="149">
        <f>'Part A'!H10</f>
        <v>46200</v>
      </c>
      <c r="C28" s="19" t="str">
        <f>C26</f>
        <v>Purchase Day Book</v>
      </c>
      <c r="D28" s="20"/>
      <c r="E28" s="20">
        <f>'Part A'!J10</f>
        <v>2600</v>
      </c>
      <c r="F28" s="150">
        <f>F27+E28</f>
        <v>5295</v>
      </c>
      <c r="G28" s="5" t="s">
        <v>38</v>
      </c>
    </row>
    <row r="29" spans="2:11">
      <c r="B29" s="151">
        <v>45838</v>
      </c>
      <c r="C29" s="152" t="s">
        <v>101</v>
      </c>
      <c r="D29" s="153">
        <f>'Part A'!S24</f>
        <v>2695</v>
      </c>
      <c r="E29" s="153"/>
      <c r="F29" s="154">
        <f>F28-D29</f>
        <v>2600</v>
      </c>
      <c r="G29" s="5" t="s">
        <v>38</v>
      </c>
    </row>
    <row r="30" spans="2:11" ht="15.75" customHeight="1"/>
    <row r="31" spans="2:11">
      <c r="B31" s="165" t="s">
        <v>92</v>
      </c>
      <c r="C31" s="166" t="s">
        <v>59</v>
      </c>
      <c r="D31" s="164"/>
      <c r="E31" s="140"/>
      <c r="F31" s="140"/>
    </row>
    <row r="32" spans="2:11">
      <c r="B32" s="167" t="s">
        <v>42</v>
      </c>
      <c r="C32" s="141" t="s">
        <v>48</v>
      </c>
      <c r="D32" s="142" t="s">
        <v>95</v>
      </c>
      <c r="E32" s="156" t="s">
        <v>96</v>
      </c>
      <c r="F32" s="157" t="s">
        <v>97</v>
      </c>
    </row>
    <row r="33" spans="2:7">
      <c r="B33" s="158"/>
      <c r="C33" s="159"/>
      <c r="D33" s="160" t="s">
        <v>54</v>
      </c>
      <c r="E33" s="160" t="s">
        <v>54</v>
      </c>
      <c r="F33" s="154" t="s">
        <v>54</v>
      </c>
    </row>
    <row r="34" spans="2:7">
      <c r="B34" s="161">
        <f>'Part A'!H8</f>
        <v>46174</v>
      </c>
      <c r="C34" s="15" t="str">
        <f>'Part A'!H4</f>
        <v>Purchase Day Book</v>
      </c>
      <c r="D34" s="8"/>
      <c r="E34" s="8">
        <f>'Part A'!J8</f>
        <v>3200</v>
      </c>
      <c r="F34" s="162">
        <f>E34</f>
        <v>3200</v>
      </c>
      <c r="G34" s="5" t="s">
        <v>38</v>
      </c>
    </row>
    <row r="35" spans="2:7">
      <c r="B35" s="149">
        <f>'Part A'!H9</f>
        <v>46178</v>
      </c>
      <c r="C35" s="19" t="str">
        <f>C34</f>
        <v>Purchase Day Book</v>
      </c>
      <c r="D35" s="20"/>
      <c r="E35" s="20">
        <f>'Part A'!J9</f>
        <v>3500</v>
      </c>
      <c r="F35" s="150">
        <f>F34+E35</f>
        <v>6700</v>
      </c>
      <c r="G35" s="5" t="s">
        <v>38</v>
      </c>
    </row>
    <row r="36" spans="2:7">
      <c r="B36" s="149">
        <f>'Part A'!H17</f>
        <v>46187</v>
      </c>
      <c r="C36" s="19" t="str">
        <f>'Part A'!H14</f>
        <v>Purchase Return Day Book</v>
      </c>
      <c r="D36" s="20">
        <f>'Part A'!J17</f>
        <v>820</v>
      </c>
      <c r="E36" s="20"/>
      <c r="F36" s="150">
        <f>F35-D36</f>
        <v>5880</v>
      </c>
      <c r="G36" s="5" t="s">
        <v>38</v>
      </c>
    </row>
    <row r="37" spans="2:7">
      <c r="B37" s="151">
        <v>45838</v>
      </c>
      <c r="C37" s="152" t="s">
        <v>101</v>
      </c>
      <c r="D37" s="153">
        <f>'Part A'!S23</f>
        <v>2500</v>
      </c>
      <c r="E37" s="153"/>
      <c r="F37" s="154">
        <f>F36-D37</f>
        <v>3380</v>
      </c>
      <c r="G37" s="5" t="s">
        <v>38</v>
      </c>
    </row>
    <row r="39" spans="2:7">
      <c r="B39" s="7" t="s">
        <v>102</v>
      </c>
    </row>
    <row r="41" spans="2:7">
      <c r="B41" s="195" t="s">
        <v>92</v>
      </c>
      <c r="C41" s="196" t="s">
        <v>45</v>
      </c>
      <c r="D41" s="143"/>
      <c r="E41" s="143"/>
      <c r="F41" s="144"/>
    </row>
    <row r="42" spans="2:7" ht="15.75" customHeight="1">
      <c r="B42" s="167" t="s">
        <v>42</v>
      </c>
      <c r="C42" s="141" t="s">
        <v>48</v>
      </c>
      <c r="D42" s="178" t="s">
        <v>95</v>
      </c>
      <c r="E42" s="178" t="s">
        <v>96</v>
      </c>
      <c r="F42" s="179" t="s">
        <v>97</v>
      </c>
    </row>
    <row r="43" spans="2:7">
      <c r="B43" s="158"/>
      <c r="C43" s="159"/>
      <c r="D43" s="181" t="s">
        <v>54</v>
      </c>
      <c r="E43" s="181" t="s">
        <v>54</v>
      </c>
      <c r="F43" s="175" t="s">
        <v>54</v>
      </c>
    </row>
    <row r="44" spans="2:7">
      <c r="B44" s="188">
        <v>45838</v>
      </c>
      <c r="C44" s="36" t="s">
        <v>36</v>
      </c>
      <c r="D44" s="37"/>
      <c r="E44" s="37">
        <f>'Part A'!E12</f>
        <v>3733.3333333333335</v>
      </c>
      <c r="F44" s="189">
        <f>E44</f>
        <v>3733.3333333333335</v>
      </c>
      <c r="G44" s="5" t="s">
        <v>38</v>
      </c>
    </row>
    <row r="45" spans="2:7">
      <c r="B45" s="170">
        <f>B44</f>
        <v>45838</v>
      </c>
      <c r="C45" s="35" t="s">
        <v>62</v>
      </c>
      <c r="D45" s="34">
        <f>'Part A'!E20</f>
        <v>333.33333333333337</v>
      </c>
      <c r="E45" s="34"/>
      <c r="F45" s="171">
        <f>F44-D45</f>
        <v>3400</v>
      </c>
      <c r="G45" s="5" t="s">
        <v>38</v>
      </c>
    </row>
    <row r="46" spans="2:7">
      <c r="B46" s="170">
        <f>B45</f>
        <v>45838</v>
      </c>
      <c r="C46" s="35" t="s">
        <v>103</v>
      </c>
      <c r="D46" s="34">
        <f>'Part A'!E28</f>
        <v>48</v>
      </c>
      <c r="E46" s="34"/>
      <c r="F46" s="171">
        <f>F45-D46</f>
        <v>3352</v>
      </c>
      <c r="G46" s="5" t="s">
        <v>38</v>
      </c>
    </row>
    <row r="47" spans="2:7">
      <c r="B47" s="170">
        <f>B46</f>
        <v>45838</v>
      </c>
      <c r="C47" s="35" t="s">
        <v>39</v>
      </c>
      <c r="D47" s="34">
        <f>'Part A'!K12</f>
        <v>1425</v>
      </c>
      <c r="E47" s="34"/>
      <c r="F47" s="171">
        <f>F46-D47</f>
        <v>1927</v>
      </c>
      <c r="G47" s="5" t="s">
        <v>38</v>
      </c>
    </row>
    <row r="48" spans="2:7">
      <c r="B48" s="170">
        <f>B47</f>
        <v>45838</v>
      </c>
      <c r="C48" s="35" t="s">
        <v>63</v>
      </c>
      <c r="D48" s="34"/>
      <c r="E48" s="34">
        <f>'Part A'!K20</f>
        <v>136.66666666666666</v>
      </c>
      <c r="F48" s="171">
        <f>F47+E48</f>
        <v>2063.6666666666665</v>
      </c>
      <c r="G48" s="5" t="s">
        <v>38</v>
      </c>
    </row>
    <row r="49" spans="2:7">
      <c r="B49" s="170">
        <f>B48</f>
        <v>45838</v>
      </c>
      <c r="C49" s="35" t="s">
        <v>104</v>
      </c>
      <c r="D49" s="34"/>
      <c r="E49" s="34">
        <f>'Part A'!K28</f>
        <v>9.1666666666666661</v>
      </c>
      <c r="F49" s="171">
        <f>F48+E49</f>
        <v>2072.833333333333</v>
      </c>
      <c r="G49" s="5" t="s">
        <v>38</v>
      </c>
    </row>
    <row r="50" spans="2:7">
      <c r="B50" s="170">
        <f>B49</f>
        <v>45838</v>
      </c>
      <c r="C50" s="35" t="s">
        <v>40</v>
      </c>
      <c r="D50" s="34"/>
      <c r="E50" s="34">
        <f>'Part A'!R12</f>
        <v>300</v>
      </c>
      <c r="F50" s="171">
        <f>F49+E50</f>
        <v>2372.833333333333</v>
      </c>
      <c r="G50" s="5" t="s">
        <v>38</v>
      </c>
    </row>
    <row r="51" spans="2:7">
      <c r="B51" s="172">
        <f>B50</f>
        <v>45838</v>
      </c>
      <c r="C51" s="173" t="s">
        <v>65</v>
      </c>
      <c r="D51" s="174">
        <f>'Part A'!R28</f>
        <v>4525.6666666666661</v>
      </c>
      <c r="E51" s="174"/>
      <c r="F51" s="175">
        <f>D51-F50</f>
        <v>2152.833333333333</v>
      </c>
      <c r="G51" s="5" t="s">
        <v>37</v>
      </c>
    </row>
    <row r="52" spans="2:7" ht="15.75" customHeight="1"/>
    <row r="53" spans="2:7">
      <c r="B53" s="197" t="s">
        <v>92</v>
      </c>
      <c r="C53" s="165" t="s">
        <v>105</v>
      </c>
      <c r="D53" s="143"/>
      <c r="E53" s="143"/>
      <c r="F53" s="144"/>
    </row>
    <row r="54" spans="2:7">
      <c r="B54" s="193" t="s">
        <v>42</v>
      </c>
      <c r="C54" s="176" t="s">
        <v>48</v>
      </c>
      <c r="D54" s="177" t="s">
        <v>95</v>
      </c>
      <c r="E54" s="178" t="s">
        <v>96</v>
      </c>
      <c r="F54" s="179" t="s">
        <v>97</v>
      </c>
    </row>
    <row r="55" spans="2:7" ht="15" customHeight="1">
      <c r="B55" s="182"/>
      <c r="C55" s="183"/>
      <c r="D55" s="180" t="s">
        <v>54</v>
      </c>
      <c r="E55" s="181" t="s">
        <v>54</v>
      </c>
      <c r="F55" s="175" t="s">
        <v>54</v>
      </c>
    </row>
    <row r="56" spans="2:7">
      <c r="B56" s="188">
        <v>45838</v>
      </c>
      <c r="C56" s="36" t="s">
        <v>36</v>
      </c>
      <c r="D56" s="37"/>
      <c r="E56" s="37">
        <f>'Part A'!F12</f>
        <v>18666.666666666668</v>
      </c>
      <c r="F56" s="189">
        <f>E56</f>
        <v>18666.666666666668</v>
      </c>
      <c r="G56" s="5" t="s">
        <v>38</v>
      </c>
    </row>
    <row r="57" spans="2:7">
      <c r="B57" s="172">
        <v>45838</v>
      </c>
      <c r="C57" s="173" t="s">
        <v>98</v>
      </c>
      <c r="D57" s="174"/>
      <c r="E57" s="174">
        <f>'Part A'!U12</f>
        <v>2500</v>
      </c>
      <c r="F57" s="175">
        <f>F56+E57</f>
        <v>21166.666666666668</v>
      </c>
      <c r="G57" s="5" t="s">
        <v>38</v>
      </c>
    </row>
    <row r="58" spans="2:7">
      <c r="D58" s="33"/>
      <c r="E58" s="33"/>
      <c r="F58" s="114"/>
    </row>
    <row r="59" spans="2:7">
      <c r="B59" s="195" t="s">
        <v>92</v>
      </c>
      <c r="C59" s="166" t="s">
        <v>106</v>
      </c>
      <c r="D59" s="164"/>
      <c r="E59" s="143"/>
      <c r="F59" s="144"/>
    </row>
    <row r="60" spans="2:7">
      <c r="B60" s="167" t="s">
        <v>42</v>
      </c>
      <c r="C60" s="141" t="s">
        <v>48</v>
      </c>
      <c r="D60" s="198" t="s">
        <v>95</v>
      </c>
      <c r="E60" s="177" t="s">
        <v>96</v>
      </c>
      <c r="F60" s="179" t="s">
        <v>97</v>
      </c>
    </row>
    <row r="61" spans="2:7">
      <c r="B61" s="158"/>
      <c r="C61" s="159"/>
      <c r="D61" s="181" t="s">
        <v>54</v>
      </c>
      <c r="E61" s="180" t="s">
        <v>54</v>
      </c>
      <c r="F61" s="175" t="s">
        <v>54</v>
      </c>
    </row>
    <row r="62" spans="2:7">
      <c r="B62" s="184">
        <v>45838</v>
      </c>
      <c r="C62" s="185" t="s">
        <v>62</v>
      </c>
      <c r="D62" s="186">
        <f>'Part A'!F20</f>
        <v>1666.6666666666665</v>
      </c>
      <c r="E62" s="186"/>
      <c r="F62" s="187">
        <f>D62</f>
        <v>1666.6666666666665</v>
      </c>
      <c r="G62" s="5" t="s">
        <v>37</v>
      </c>
    </row>
    <row r="63" spans="2:7">
      <c r="B63" s="38"/>
      <c r="D63" s="33"/>
      <c r="E63" s="33"/>
      <c r="F63" s="114"/>
    </row>
    <row r="64" spans="2:7">
      <c r="B64" s="197" t="s">
        <v>92</v>
      </c>
      <c r="C64" s="163" t="s">
        <v>77</v>
      </c>
      <c r="D64" s="164"/>
      <c r="E64" s="143"/>
      <c r="F64" s="144"/>
    </row>
    <row r="65" spans="2:7">
      <c r="B65" s="167" t="s">
        <v>42</v>
      </c>
      <c r="C65" s="141" t="s">
        <v>48</v>
      </c>
      <c r="D65" s="198" t="s">
        <v>95</v>
      </c>
      <c r="E65" s="177" t="s">
        <v>96</v>
      </c>
      <c r="F65" s="179" t="s">
        <v>97</v>
      </c>
    </row>
    <row r="66" spans="2:7">
      <c r="B66" s="158"/>
      <c r="C66" s="159"/>
      <c r="D66" s="181" t="s">
        <v>54</v>
      </c>
      <c r="E66" s="180" t="s">
        <v>54</v>
      </c>
      <c r="F66" s="175" t="s">
        <v>54</v>
      </c>
    </row>
    <row r="67" spans="2:7">
      <c r="B67" s="184">
        <v>45838</v>
      </c>
      <c r="C67" s="185" t="s">
        <v>103</v>
      </c>
      <c r="D67" s="186">
        <f>'Part A'!F28</f>
        <v>240</v>
      </c>
      <c r="E67" s="186"/>
      <c r="F67" s="187">
        <f>D67</f>
        <v>240</v>
      </c>
      <c r="G67" s="5" t="s">
        <v>37</v>
      </c>
    </row>
    <row r="69" spans="2:7">
      <c r="B69" s="195" t="s">
        <v>92</v>
      </c>
      <c r="C69" s="196" t="s">
        <v>107</v>
      </c>
      <c r="D69" s="143"/>
      <c r="E69" s="143"/>
      <c r="F69" s="144"/>
    </row>
    <row r="70" spans="2:7">
      <c r="B70" s="167" t="s">
        <v>42</v>
      </c>
      <c r="C70" s="141" t="s">
        <v>48</v>
      </c>
      <c r="D70" s="177" t="s">
        <v>95</v>
      </c>
      <c r="E70" s="178" t="s">
        <v>96</v>
      </c>
      <c r="F70" s="179" t="s">
        <v>97</v>
      </c>
    </row>
    <row r="71" spans="2:7">
      <c r="B71" s="158"/>
      <c r="C71" s="159"/>
      <c r="D71" s="180" t="s">
        <v>54</v>
      </c>
      <c r="E71" s="181" t="s">
        <v>54</v>
      </c>
      <c r="F71" s="175" t="s">
        <v>54</v>
      </c>
    </row>
    <row r="72" spans="2:7" ht="15.75" customHeight="1">
      <c r="B72" s="184">
        <v>45838</v>
      </c>
      <c r="C72" s="185" t="s">
        <v>39</v>
      </c>
      <c r="D72" s="186">
        <f>'Part A'!L12</f>
        <v>10624.999999999998</v>
      </c>
      <c r="E72" s="186"/>
      <c r="F72" s="187">
        <f>D72</f>
        <v>10624.999999999998</v>
      </c>
      <c r="G72" s="5" t="s">
        <v>37</v>
      </c>
    </row>
    <row r="73" spans="2:7">
      <c r="B73" s="38"/>
      <c r="D73" s="33"/>
      <c r="E73" s="33"/>
      <c r="F73" s="114"/>
    </row>
    <row r="74" spans="2:7">
      <c r="B74" s="197" t="s">
        <v>92</v>
      </c>
      <c r="C74" s="163" t="s">
        <v>108</v>
      </c>
      <c r="D74" s="164"/>
      <c r="E74" s="143"/>
      <c r="F74" s="144"/>
    </row>
    <row r="75" spans="2:7">
      <c r="B75" s="167" t="s">
        <v>42</v>
      </c>
      <c r="C75" s="141" t="s">
        <v>48</v>
      </c>
      <c r="D75" s="198" t="s">
        <v>95</v>
      </c>
      <c r="E75" s="177" t="s">
        <v>96</v>
      </c>
      <c r="F75" s="179" t="s">
        <v>97</v>
      </c>
    </row>
    <row r="76" spans="2:7">
      <c r="B76" s="158"/>
      <c r="C76" s="159"/>
      <c r="D76" s="181" t="s">
        <v>54</v>
      </c>
      <c r="E76" s="180" t="s">
        <v>54</v>
      </c>
      <c r="F76" s="175" t="s">
        <v>54</v>
      </c>
    </row>
    <row r="77" spans="2:7">
      <c r="B77" s="184">
        <v>45838</v>
      </c>
      <c r="C77" s="185" t="s">
        <v>63</v>
      </c>
      <c r="D77" s="186"/>
      <c r="E77" s="186">
        <f>'Part A'!L20</f>
        <v>683.33333333333337</v>
      </c>
      <c r="F77" s="187">
        <f>E77</f>
        <v>683.33333333333337</v>
      </c>
      <c r="G77" s="5" t="s">
        <v>38</v>
      </c>
    </row>
    <row r="78" spans="2:7">
      <c r="B78" s="38"/>
      <c r="D78" s="33"/>
      <c r="E78" s="33"/>
      <c r="F78" s="114"/>
    </row>
    <row r="79" spans="2:7">
      <c r="B79" s="195" t="s">
        <v>92</v>
      </c>
      <c r="C79" s="166" t="s">
        <v>78</v>
      </c>
      <c r="D79" s="164"/>
      <c r="E79" s="143"/>
      <c r="F79" s="144"/>
    </row>
    <row r="80" spans="2:7">
      <c r="B80" s="167" t="s">
        <v>42</v>
      </c>
      <c r="C80" s="141" t="s">
        <v>48</v>
      </c>
      <c r="D80" s="198" t="s">
        <v>95</v>
      </c>
      <c r="E80" s="177" t="s">
        <v>96</v>
      </c>
      <c r="F80" s="179" t="s">
        <v>97</v>
      </c>
    </row>
    <row r="81" spans="2:7">
      <c r="B81" s="158"/>
      <c r="C81" s="159"/>
      <c r="D81" s="181" t="s">
        <v>54</v>
      </c>
      <c r="E81" s="180" t="s">
        <v>54</v>
      </c>
      <c r="F81" s="175" t="s">
        <v>54</v>
      </c>
    </row>
    <row r="82" spans="2:7">
      <c r="B82" s="184">
        <v>45838</v>
      </c>
      <c r="C82" s="185" t="s">
        <v>104</v>
      </c>
      <c r="D82" s="186"/>
      <c r="E82" s="186">
        <f>'Part A'!L28</f>
        <v>45.833333333333336</v>
      </c>
      <c r="F82" s="187">
        <f>E82</f>
        <v>45.833333333333336</v>
      </c>
      <c r="G82" s="5" t="s">
        <v>38</v>
      </c>
    </row>
    <row r="83" spans="2:7">
      <c r="B83" s="38"/>
      <c r="D83" s="33"/>
      <c r="E83" s="33"/>
      <c r="F83" s="114"/>
    </row>
    <row r="84" spans="2:7">
      <c r="B84" s="197" t="s">
        <v>92</v>
      </c>
      <c r="C84" s="165" t="s">
        <v>52</v>
      </c>
      <c r="D84" s="143"/>
      <c r="E84" s="143"/>
      <c r="F84" s="144"/>
    </row>
    <row r="85" spans="2:7">
      <c r="B85" s="167" t="s">
        <v>42</v>
      </c>
      <c r="C85" s="141" t="s">
        <v>48</v>
      </c>
      <c r="D85" s="177" t="s">
        <v>95</v>
      </c>
      <c r="E85" s="178" t="s">
        <v>96</v>
      </c>
      <c r="F85" s="179" t="s">
        <v>97</v>
      </c>
    </row>
    <row r="86" spans="2:7">
      <c r="B86" s="158"/>
      <c r="C86" s="159"/>
      <c r="D86" s="180" t="s">
        <v>54</v>
      </c>
      <c r="E86" s="181" t="s">
        <v>54</v>
      </c>
      <c r="F86" s="175" t="s">
        <v>54</v>
      </c>
    </row>
    <row r="87" spans="2:7">
      <c r="B87" s="184">
        <v>45838</v>
      </c>
      <c r="C87" s="185" t="s">
        <v>98</v>
      </c>
      <c r="D87" s="186"/>
      <c r="E87" s="186">
        <f>'Part A'!T12</f>
        <v>108000</v>
      </c>
      <c r="F87" s="187">
        <f>E87</f>
        <v>108000</v>
      </c>
      <c r="G87" s="5" t="s">
        <v>38</v>
      </c>
    </row>
    <row r="88" spans="2:7">
      <c r="B88" s="38"/>
      <c r="D88" s="33"/>
      <c r="E88" s="33"/>
      <c r="F88" s="114"/>
    </row>
    <row r="89" spans="2:7">
      <c r="B89" s="195" t="s">
        <v>92</v>
      </c>
      <c r="C89" s="166" t="s">
        <v>68</v>
      </c>
      <c r="D89" s="164"/>
      <c r="E89" s="143"/>
      <c r="F89" s="144"/>
    </row>
    <row r="90" spans="2:7">
      <c r="B90" s="167" t="s">
        <v>42</v>
      </c>
      <c r="C90" s="141" t="s">
        <v>48</v>
      </c>
      <c r="D90" s="198" t="s">
        <v>95</v>
      </c>
      <c r="E90" s="177" t="s">
        <v>96</v>
      </c>
      <c r="F90" s="179" t="s">
        <v>97</v>
      </c>
    </row>
    <row r="91" spans="2:7">
      <c r="B91" s="158"/>
      <c r="C91" s="159"/>
      <c r="D91" s="181" t="s">
        <v>54</v>
      </c>
      <c r="E91" s="180" t="s">
        <v>54</v>
      </c>
      <c r="F91" s="175" t="s">
        <v>54</v>
      </c>
    </row>
    <row r="92" spans="2:7">
      <c r="B92" s="184">
        <v>45838</v>
      </c>
      <c r="C92" s="185" t="s">
        <v>101</v>
      </c>
      <c r="D92" s="186">
        <f>'Part A'!T28</f>
        <v>4166.666666666667</v>
      </c>
      <c r="E92" s="186"/>
      <c r="F92" s="187">
        <f>D92</f>
        <v>4166.666666666667</v>
      </c>
      <c r="G92" s="5" t="s">
        <v>37</v>
      </c>
    </row>
    <row r="93" spans="2:7">
      <c r="D93" s="33"/>
      <c r="E93" s="33"/>
      <c r="F93" s="114"/>
    </row>
    <row r="94" spans="2:7">
      <c r="B94" s="197" t="s">
        <v>92</v>
      </c>
      <c r="C94" s="165" t="s">
        <v>69</v>
      </c>
      <c r="D94" s="143"/>
      <c r="E94" s="143"/>
      <c r="F94" s="144"/>
    </row>
    <row r="95" spans="2:7">
      <c r="B95" s="167" t="s">
        <v>42</v>
      </c>
      <c r="C95" s="141" t="s">
        <v>48</v>
      </c>
      <c r="D95" s="177" t="s">
        <v>95</v>
      </c>
      <c r="E95" s="178" t="s">
        <v>96</v>
      </c>
      <c r="F95" s="179" t="s">
        <v>97</v>
      </c>
    </row>
    <row r="96" spans="2:7">
      <c r="B96" s="158"/>
      <c r="C96" s="159"/>
      <c r="D96" s="180" t="s">
        <v>54</v>
      </c>
      <c r="E96" s="181" t="s">
        <v>54</v>
      </c>
      <c r="F96" s="175" t="s">
        <v>54</v>
      </c>
    </row>
    <row r="97" spans="2:7" ht="15.75" customHeight="1">
      <c r="B97" s="184">
        <v>45838</v>
      </c>
      <c r="C97" s="185" t="s">
        <v>101</v>
      </c>
      <c r="D97" s="186">
        <f>'Part A'!U28</f>
        <v>128.33333333333334</v>
      </c>
      <c r="E97" s="186"/>
      <c r="F97" s="187">
        <f>D97</f>
        <v>128.33333333333334</v>
      </c>
      <c r="G97" s="5" t="s">
        <v>37</v>
      </c>
    </row>
    <row r="98" spans="2:7">
      <c r="B98" s="38"/>
      <c r="D98" s="33"/>
      <c r="E98" s="33"/>
      <c r="F98" s="114"/>
    </row>
    <row r="99" spans="2:7">
      <c r="B99" s="195" t="s">
        <v>92</v>
      </c>
      <c r="C99" s="166" t="s">
        <v>73</v>
      </c>
      <c r="D99" s="164"/>
      <c r="E99" s="143"/>
      <c r="F99" s="144"/>
    </row>
    <row r="100" spans="2:7">
      <c r="B100" s="167" t="s">
        <v>42</v>
      </c>
      <c r="C100" s="141" t="s">
        <v>48</v>
      </c>
      <c r="D100" s="198" t="s">
        <v>95</v>
      </c>
      <c r="E100" s="177" t="s">
        <v>96</v>
      </c>
      <c r="F100" s="179" t="s">
        <v>97</v>
      </c>
    </row>
    <row r="101" spans="2:7">
      <c r="B101" s="158"/>
      <c r="C101" s="159"/>
      <c r="D101" s="181" t="s">
        <v>54</v>
      </c>
      <c r="E101" s="180" t="s">
        <v>54</v>
      </c>
      <c r="F101" s="175" t="s">
        <v>54</v>
      </c>
    </row>
    <row r="102" spans="2:7">
      <c r="B102" s="184">
        <v>45838</v>
      </c>
      <c r="C102" s="185" t="s">
        <v>101</v>
      </c>
      <c r="D102" s="186">
        <f>'Part A'!V28</f>
        <v>1850</v>
      </c>
      <c r="E102" s="186"/>
      <c r="F102" s="187">
        <f>D102</f>
        <v>1850</v>
      </c>
      <c r="G102" s="5" t="s">
        <v>37</v>
      </c>
    </row>
    <row r="103" spans="2:7">
      <c r="B103" s="38"/>
      <c r="D103" s="33"/>
      <c r="E103" s="33"/>
      <c r="F103" s="114"/>
    </row>
    <row r="104" spans="2:7">
      <c r="B104" s="197" t="s">
        <v>92</v>
      </c>
      <c r="C104" s="163" t="s">
        <v>109</v>
      </c>
      <c r="D104" s="164"/>
      <c r="E104" s="143"/>
      <c r="F104" s="144"/>
    </row>
    <row r="105" spans="2:7">
      <c r="B105" s="167" t="s">
        <v>42</v>
      </c>
      <c r="C105" s="141" t="s">
        <v>48</v>
      </c>
      <c r="D105" s="198" t="s">
        <v>95</v>
      </c>
      <c r="E105" s="177" t="s">
        <v>96</v>
      </c>
      <c r="F105" s="179" t="s">
        <v>97</v>
      </c>
    </row>
    <row r="106" spans="2:7">
      <c r="B106" s="158"/>
      <c r="C106" s="159"/>
      <c r="D106" s="181" t="s">
        <v>54</v>
      </c>
      <c r="E106" s="180" t="s">
        <v>54</v>
      </c>
      <c r="F106" s="175" t="s">
        <v>54</v>
      </c>
    </row>
    <row r="107" spans="2:7">
      <c r="B107" s="184">
        <v>45838</v>
      </c>
      <c r="C107" s="185" t="s">
        <v>101</v>
      </c>
      <c r="D107" s="186">
        <f>'Part A'!W28</f>
        <v>18333.333333333332</v>
      </c>
      <c r="E107" s="186"/>
      <c r="F107" s="187">
        <f>D107</f>
        <v>18333.333333333332</v>
      </c>
      <c r="G107" s="5" t="s">
        <v>37</v>
      </c>
    </row>
    <row r="108" spans="2:7">
      <c r="B108" s="38"/>
      <c r="D108" s="33"/>
      <c r="E108" s="33"/>
      <c r="F108" s="114"/>
    </row>
    <row r="109" spans="2:7">
      <c r="B109" s="195" t="s">
        <v>92</v>
      </c>
      <c r="C109" s="199" t="s">
        <v>72</v>
      </c>
      <c r="D109" s="143"/>
      <c r="E109" s="143"/>
      <c r="F109" s="144"/>
    </row>
    <row r="110" spans="2:7">
      <c r="B110" s="167" t="s">
        <v>42</v>
      </c>
      <c r="C110" s="141" t="s">
        <v>48</v>
      </c>
      <c r="D110" s="177" t="s">
        <v>95</v>
      </c>
      <c r="E110" s="178" t="s">
        <v>96</v>
      </c>
      <c r="F110" s="179" t="s">
        <v>97</v>
      </c>
    </row>
    <row r="111" spans="2:7">
      <c r="B111" s="158"/>
      <c r="C111" s="159"/>
      <c r="D111" s="180" t="s">
        <v>54</v>
      </c>
      <c r="E111" s="181" t="s">
        <v>54</v>
      </c>
      <c r="F111" s="175" t="s">
        <v>54</v>
      </c>
    </row>
    <row r="112" spans="2:7">
      <c r="B112" s="184">
        <v>45838</v>
      </c>
      <c r="C112" s="185" t="s">
        <v>101</v>
      </c>
      <c r="D112" s="186">
        <f>'Part A'!X28</f>
        <v>51</v>
      </c>
      <c r="E112" s="186"/>
      <c r="F112" s="187">
        <f>D112</f>
        <v>51</v>
      </c>
      <c r="G112" s="5" t="s">
        <v>37</v>
      </c>
    </row>
    <row r="119" ht="15.75" customHeight="1"/>
  </sheetData>
  <mergeCells count="45">
    <mergeCell ref="B5:B6"/>
    <mergeCell ref="C5:C6"/>
    <mergeCell ref="C4:D4"/>
    <mergeCell ref="C23:D23"/>
    <mergeCell ref="B24:B25"/>
    <mergeCell ref="C24:C25"/>
    <mergeCell ref="C12:D12"/>
    <mergeCell ref="B13:B14"/>
    <mergeCell ref="C13:C14"/>
    <mergeCell ref="B80:B81"/>
    <mergeCell ref="C80:C81"/>
    <mergeCell ref="B105:B106"/>
    <mergeCell ref="C105:C106"/>
    <mergeCell ref="B110:B111"/>
    <mergeCell ref="C110:C111"/>
    <mergeCell ref="C99:D99"/>
    <mergeCell ref="C104:D104"/>
    <mergeCell ref="B100:B101"/>
    <mergeCell ref="C100:C101"/>
    <mergeCell ref="B42:B43"/>
    <mergeCell ref="C42:C43"/>
    <mergeCell ref="B70:B71"/>
    <mergeCell ref="C70:C71"/>
    <mergeCell ref="B75:B76"/>
    <mergeCell ref="C64:D64"/>
    <mergeCell ref="B60:B61"/>
    <mergeCell ref="C60:C61"/>
    <mergeCell ref="B65:B66"/>
    <mergeCell ref="C65:C66"/>
    <mergeCell ref="B95:B96"/>
    <mergeCell ref="C95:C96"/>
    <mergeCell ref="C31:D31"/>
    <mergeCell ref="B32:B33"/>
    <mergeCell ref="C32:C33"/>
    <mergeCell ref="C75:C76"/>
    <mergeCell ref="C79:D79"/>
    <mergeCell ref="C89:D89"/>
    <mergeCell ref="B85:B86"/>
    <mergeCell ref="C85:C86"/>
    <mergeCell ref="B90:B91"/>
    <mergeCell ref="C90:C91"/>
    <mergeCell ref="C54:C55"/>
    <mergeCell ref="B54:B55"/>
    <mergeCell ref="C74:D74"/>
    <mergeCell ref="C59:D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B3B0-2DFB-44BA-B4BA-F35EDFF02F65}">
  <dimension ref="A1:N35"/>
  <sheetViews>
    <sheetView topLeftCell="A8" workbookViewId="0">
      <selection activeCell="L21" sqref="L21"/>
    </sheetView>
  </sheetViews>
  <sheetFormatPr defaultRowHeight="15"/>
  <cols>
    <col min="4" max="4" width="11.7109375" bestFit="1" customWidth="1"/>
    <col min="5" max="5" width="15.85546875" bestFit="1" customWidth="1"/>
    <col min="13" max="13" width="10" bestFit="1" customWidth="1"/>
  </cols>
  <sheetData>
    <row r="1" spans="1:14">
      <c r="A1" s="7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4">
      <c r="A3" s="5"/>
      <c r="B3" s="5"/>
      <c r="C3" s="5"/>
      <c r="D3" s="5"/>
      <c r="E3" s="5"/>
      <c r="F3" s="5"/>
      <c r="G3" s="39"/>
      <c r="H3" s="5"/>
      <c r="I3" s="5"/>
      <c r="J3" s="5"/>
      <c r="K3" s="5"/>
      <c r="L3" s="5"/>
    </row>
    <row r="4" spans="1:14">
      <c r="A4" s="5" t="s">
        <v>111</v>
      </c>
      <c r="B4" s="5"/>
      <c r="C4" s="5"/>
      <c r="D4" s="5"/>
      <c r="E4" s="5"/>
      <c r="F4" s="5"/>
      <c r="G4" s="39"/>
      <c r="H4" s="5"/>
      <c r="I4" s="5"/>
      <c r="J4" s="5"/>
      <c r="K4" s="5"/>
      <c r="L4" s="5"/>
    </row>
    <row r="5" spans="1:14">
      <c r="A5" s="39"/>
      <c r="B5" s="39"/>
      <c r="C5" s="39"/>
      <c r="D5" s="39"/>
      <c r="E5" s="39"/>
      <c r="F5" s="5"/>
      <c r="G5" s="40"/>
      <c r="H5" s="5"/>
      <c r="I5" s="5"/>
      <c r="J5" s="5"/>
      <c r="K5" s="5"/>
      <c r="L5" s="5"/>
    </row>
    <row r="6" spans="1:14">
      <c r="A6" s="139" t="s">
        <v>112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41">
        <v>1</v>
      </c>
      <c r="M6" s="53">
        <f>D24</f>
        <v>3652</v>
      </c>
    </row>
    <row r="7" spans="1:14">
      <c r="A7" s="137" t="s">
        <v>113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41">
        <v>2</v>
      </c>
      <c r="M7" s="1"/>
    </row>
    <row r="8" spans="1:14">
      <c r="A8" s="137" t="s">
        <v>114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41">
        <v>3</v>
      </c>
      <c r="M8" s="53">
        <f>M6+M7</f>
        <v>3652</v>
      </c>
    </row>
    <row r="9" spans="1:14">
      <c r="A9" s="137" t="s">
        <v>115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41">
        <v>4</v>
      </c>
      <c r="M9" s="53">
        <f>D32</f>
        <v>5804.8333333333321</v>
      </c>
    </row>
    <row r="10" spans="1:14">
      <c r="A10" s="137" t="s">
        <v>116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44">
        <v>5</v>
      </c>
      <c r="M10" s="53">
        <f>M8-M9</f>
        <v>-2152.8333333333321</v>
      </c>
      <c r="N10" t="s">
        <v>117</v>
      </c>
    </row>
    <row r="11" spans="1:14">
      <c r="A11" s="137" t="s">
        <v>118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44">
        <v>6</v>
      </c>
      <c r="M11" s="53">
        <f>E24</f>
        <v>19260</v>
      </c>
    </row>
    <row r="12" spans="1:14">
      <c r="A12" s="137" t="s">
        <v>119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44">
        <v>7</v>
      </c>
      <c r="M12" s="53">
        <f>E32</f>
        <v>34425.166666666664</v>
      </c>
    </row>
    <row r="13" spans="1:14">
      <c r="A13" s="137" t="s">
        <v>120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44">
        <v>8</v>
      </c>
      <c r="M13" s="1" t="s">
        <v>121</v>
      </c>
    </row>
    <row r="14" spans="1:14">
      <c r="A14" s="137" t="s">
        <v>122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44">
        <v>9</v>
      </c>
      <c r="M14" s="1" t="str">
        <f>M13</f>
        <v>N/A</v>
      </c>
    </row>
    <row r="15" spans="1:14">
      <c r="A15" s="5"/>
      <c r="B15" s="5"/>
      <c r="C15" s="5"/>
      <c r="D15" s="5"/>
      <c r="E15" s="5"/>
      <c r="F15" s="5"/>
      <c r="G15" s="21"/>
      <c r="H15" s="21"/>
      <c r="I15" s="21"/>
      <c r="J15" s="21"/>
      <c r="K15" s="45"/>
      <c r="L15" s="45"/>
    </row>
    <row r="16" spans="1:14">
      <c r="A16" s="5" t="s">
        <v>123</v>
      </c>
      <c r="B16" s="5"/>
      <c r="C16" s="5"/>
      <c r="D16" s="5"/>
      <c r="E16" s="5"/>
      <c r="F16" s="5"/>
      <c r="G16" s="21"/>
      <c r="H16" s="21"/>
      <c r="I16" s="21"/>
      <c r="J16" s="21"/>
      <c r="K16" s="21"/>
      <c r="L16" s="43"/>
    </row>
    <row r="17" spans="1:12">
      <c r="A17" s="5"/>
      <c r="B17" s="5"/>
      <c r="C17" s="5"/>
      <c r="D17" s="5"/>
      <c r="E17" s="5"/>
      <c r="F17" s="5"/>
      <c r="G17" s="21"/>
      <c r="H17" s="21"/>
      <c r="I17" s="21"/>
      <c r="J17" s="21"/>
      <c r="K17" s="21"/>
      <c r="L17" s="40"/>
    </row>
    <row r="18" spans="1:12">
      <c r="A18" s="5"/>
      <c r="B18" s="5"/>
      <c r="C18" s="5"/>
      <c r="D18" s="4" t="s">
        <v>124</v>
      </c>
      <c r="E18" s="4" t="s">
        <v>125</v>
      </c>
      <c r="F18" s="5"/>
      <c r="G18" s="21"/>
      <c r="H18" s="21"/>
      <c r="I18" s="21"/>
      <c r="J18" s="21"/>
      <c r="K18" s="21"/>
      <c r="L18" s="40"/>
    </row>
    <row r="19" spans="1:12">
      <c r="A19" s="5"/>
      <c r="B19" s="5"/>
      <c r="C19" s="5"/>
      <c r="D19" s="4" t="s">
        <v>126</v>
      </c>
      <c r="E19" s="4" t="s">
        <v>127</v>
      </c>
      <c r="F19" s="5"/>
      <c r="G19" s="46"/>
      <c r="H19" s="46"/>
      <c r="I19" s="46"/>
      <c r="J19" s="46"/>
      <c r="K19" s="46"/>
      <c r="L19" s="46"/>
    </row>
    <row r="20" spans="1:12">
      <c r="A20" s="138" t="s">
        <v>36</v>
      </c>
      <c r="B20" s="138"/>
      <c r="C20" s="138"/>
      <c r="D20" s="6">
        <f>'Part A'!E12</f>
        <v>3733.3333333333335</v>
      </c>
      <c r="E20" s="6">
        <f>'Part A'!F12</f>
        <v>18666.666666666668</v>
      </c>
      <c r="F20" s="5"/>
      <c r="G20" s="46"/>
      <c r="H20" s="46"/>
      <c r="I20" s="46"/>
      <c r="J20" s="46"/>
      <c r="K20" s="46"/>
      <c r="L20" s="46"/>
    </row>
    <row r="21" spans="1:12">
      <c r="A21" s="23" t="s">
        <v>62</v>
      </c>
      <c r="B21" s="23"/>
      <c r="C21" s="23"/>
      <c r="D21" s="52">
        <f>'Part A'!E20</f>
        <v>333.33333333333337</v>
      </c>
      <c r="E21" s="52">
        <f>'Part A'!F20</f>
        <v>1666.6666666666665</v>
      </c>
      <c r="F21" s="5"/>
      <c r="G21" s="46"/>
      <c r="H21" s="46"/>
      <c r="I21" s="46"/>
      <c r="J21" s="46"/>
      <c r="K21" s="46"/>
      <c r="L21" s="46"/>
    </row>
    <row r="22" spans="1:12">
      <c r="A22" s="23" t="s">
        <v>103</v>
      </c>
      <c r="B22" s="23"/>
      <c r="C22" s="23"/>
      <c r="D22" s="52">
        <f>'Part A'!E28</f>
        <v>48</v>
      </c>
      <c r="E22" s="52">
        <f>'Part A'!F28</f>
        <v>240</v>
      </c>
      <c r="F22" s="5"/>
      <c r="G22" s="46"/>
      <c r="H22" s="46"/>
      <c r="I22" s="46"/>
      <c r="J22" s="46"/>
      <c r="K22" s="46"/>
      <c r="L22" s="46"/>
    </row>
    <row r="23" spans="1:12">
      <c r="A23" s="23" t="s">
        <v>98</v>
      </c>
      <c r="B23" s="23"/>
      <c r="C23" s="23"/>
      <c r="D23" s="50">
        <f>'Part A'!R12</f>
        <v>300</v>
      </c>
      <c r="E23" s="50">
        <f>'Part A'!U12</f>
        <v>2500</v>
      </c>
      <c r="F23" s="5"/>
      <c r="G23" s="21"/>
      <c r="H23" s="21"/>
      <c r="I23" s="21"/>
      <c r="J23" s="21"/>
      <c r="K23" s="21"/>
      <c r="L23" s="21"/>
    </row>
    <row r="24" spans="1:12">
      <c r="A24" s="5"/>
      <c r="B24" s="5"/>
      <c r="C24" s="5" t="s">
        <v>128</v>
      </c>
      <c r="D24" s="6">
        <f>D20-D21-D22+D23</f>
        <v>3652</v>
      </c>
      <c r="E24" s="6">
        <f>E20-E21-E22+E23</f>
        <v>19260</v>
      </c>
      <c r="F24" s="42"/>
      <c r="G24" s="42"/>
      <c r="H24" s="21"/>
      <c r="I24" s="47"/>
      <c r="J24" s="47"/>
      <c r="K24" s="47"/>
      <c r="L24" s="47"/>
    </row>
    <row r="25" spans="1:12">
      <c r="F25" s="42"/>
      <c r="G25" s="42"/>
      <c r="H25" s="21"/>
      <c r="I25" s="47"/>
      <c r="J25" s="47"/>
      <c r="K25" s="47"/>
      <c r="L25" s="47"/>
    </row>
    <row r="26" spans="1:12">
      <c r="A26" s="29"/>
      <c r="B26" s="29"/>
      <c r="C26" s="5"/>
      <c r="D26" s="4" t="s">
        <v>129</v>
      </c>
      <c r="E26" s="48" t="s">
        <v>130</v>
      </c>
      <c r="F26" s="42"/>
      <c r="G26" s="42"/>
      <c r="H26" s="21"/>
      <c r="I26" s="21"/>
      <c r="J26" s="21"/>
      <c r="K26" s="21"/>
      <c r="L26" s="21"/>
    </row>
    <row r="27" spans="1:12">
      <c r="A27" s="5"/>
      <c r="B27" s="31"/>
      <c r="C27" s="31"/>
      <c r="D27" s="4" t="s">
        <v>131</v>
      </c>
      <c r="E27" s="49" t="s">
        <v>132</v>
      </c>
      <c r="F27" s="42"/>
      <c r="G27" s="42"/>
      <c r="H27" s="21"/>
      <c r="I27" s="47"/>
      <c r="J27" s="47"/>
      <c r="K27" s="47"/>
      <c r="L27" s="47"/>
    </row>
    <row r="28" spans="1:12">
      <c r="A28" s="23" t="s">
        <v>39</v>
      </c>
      <c r="B28" s="23"/>
      <c r="C28" s="23"/>
      <c r="D28" s="6">
        <f>'Part A'!K12</f>
        <v>1425</v>
      </c>
      <c r="E28" s="6">
        <f>'Part A'!L12</f>
        <v>10624.999999999998</v>
      </c>
      <c r="F28" s="42"/>
      <c r="G28" s="42"/>
      <c r="H28" s="21"/>
      <c r="I28" s="47"/>
      <c r="J28" s="47"/>
      <c r="K28" s="47"/>
      <c r="L28" s="47"/>
    </row>
    <row r="29" spans="1:12">
      <c r="A29" s="23" t="s">
        <v>63</v>
      </c>
      <c r="B29" s="23"/>
      <c r="C29" s="23"/>
      <c r="D29" s="52">
        <f>'Part A'!K20</f>
        <v>136.66666666666666</v>
      </c>
      <c r="E29" s="52">
        <f>'Part A'!L20</f>
        <v>683.33333333333337</v>
      </c>
      <c r="F29" s="42"/>
      <c r="G29" s="42"/>
      <c r="H29" s="21"/>
      <c r="I29" s="21"/>
      <c r="J29" s="21"/>
      <c r="K29" s="21"/>
      <c r="L29" s="21"/>
    </row>
    <row r="30" spans="1:12">
      <c r="A30" s="23" t="s">
        <v>104</v>
      </c>
      <c r="B30" s="23"/>
      <c r="C30" s="23"/>
      <c r="D30" s="52">
        <f>'Part A'!K28</f>
        <v>9.1666666666666661</v>
      </c>
      <c r="E30" s="52">
        <f>'Part A'!L28</f>
        <v>45.833333333333336</v>
      </c>
      <c r="F30" s="42"/>
      <c r="G30" s="42"/>
      <c r="H30" s="21"/>
      <c r="I30" s="47"/>
      <c r="J30" s="47"/>
      <c r="K30" s="47"/>
      <c r="L30" s="47"/>
    </row>
    <row r="31" spans="1:12">
      <c r="A31" s="23" t="s">
        <v>101</v>
      </c>
      <c r="B31" s="5"/>
      <c r="C31" s="5"/>
      <c r="D31" s="50">
        <f>'Part A'!R28</f>
        <v>4525.6666666666661</v>
      </c>
      <c r="E31" s="51">
        <f>SUM('Part A'!T28:X28)</f>
        <v>24529.333333333332</v>
      </c>
    </row>
    <row r="32" spans="1:12">
      <c r="C32" t="s">
        <v>128</v>
      </c>
      <c r="D32" s="6">
        <f>D28-D29-D30+D31</f>
        <v>5804.8333333333321</v>
      </c>
      <c r="E32" s="6">
        <f>E28-E29-E30+E31</f>
        <v>34425.166666666664</v>
      </c>
    </row>
    <row r="34" spans="1:1">
      <c r="A34" t="s">
        <v>133</v>
      </c>
    </row>
    <row r="35" spans="1:1">
      <c r="A35" t="s">
        <v>134</v>
      </c>
    </row>
  </sheetData>
  <mergeCells count="10">
    <mergeCell ref="A12:K12"/>
    <mergeCell ref="A13:K13"/>
    <mergeCell ref="A14:K14"/>
    <mergeCell ref="A20:C20"/>
    <mergeCell ref="A6:K6"/>
    <mergeCell ref="A7:K7"/>
    <mergeCell ref="A8:K8"/>
    <mergeCell ref="A9:K9"/>
    <mergeCell ref="A10:K10"/>
    <mergeCell ref="A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Darren Somerville</dc:creator>
  <cp:keywords/>
  <dc:description/>
  <cp:lastModifiedBy>SEAN MITCHELL</cp:lastModifiedBy>
  <cp:revision/>
  <dcterms:created xsi:type="dcterms:W3CDTF">2021-09-29T19:24:29Z</dcterms:created>
  <dcterms:modified xsi:type="dcterms:W3CDTF">2026-01-01T07:45:41Z</dcterms:modified>
  <cp:category/>
  <cp:contentStatus/>
</cp:coreProperties>
</file>